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teFiles\Sitefile_ComprehensiveFormat\STW\"/>
    </mc:Choice>
  </mc:AlternateContent>
  <xr:revisionPtr revIDLastSave="0" documentId="13_ncr:1_{6D0EDF4F-DFF1-4C2C-BA02-44F50677C120}" xr6:coauthVersionLast="36" xr6:coauthVersionMax="36" xr10:uidLastSave="{00000000-0000-0000-0000-000000000000}"/>
  <bookViews>
    <workbookView xWindow="1116" yWindow="1080" windowWidth="18180" windowHeight="12300" xr2:uid="{00000000-000D-0000-FFFF-FFFF00000000}"/>
  </bookViews>
  <sheets>
    <sheet name="STW site" sheetId="2" r:id="rId1"/>
  </sheets>
  <calcPr calcId="191029"/>
</workbook>
</file>

<file path=xl/calcChain.xml><?xml version="1.0" encoding="utf-8"?>
<calcChain xmlns="http://schemas.openxmlformats.org/spreadsheetml/2006/main">
  <c r="Q184" i="2" l="1"/>
  <c r="L184" i="2"/>
  <c r="P184" i="2" s="1"/>
  <c r="I184" i="2"/>
  <c r="H184" i="2"/>
  <c r="H174" i="2"/>
  <c r="E174" i="2"/>
  <c r="D174" i="2"/>
  <c r="H170" i="2"/>
  <c r="D170" i="2" s="1"/>
  <c r="E170" i="2"/>
  <c r="E166" i="2"/>
  <c r="D166" i="2"/>
  <c r="H166" i="2"/>
  <c r="Q185" i="2" l="1"/>
  <c r="Q183" i="2"/>
  <c r="Q182" i="2"/>
  <c r="Q181" i="2"/>
  <c r="Q180" i="2"/>
  <c r="Q179" i="2"/>
  <c r="Q178" i="2"/>
  <c r="Q177" i="2"/>
  <c r="Q176" i="2"/>
  <c r="Q175" i="2"/>
  <c r="P175" i="2"/>
  <c r="Q174" i="2"/>
  <c r="Q173" i="2"/>
  <c r="P173" i="2"/>
  <c r="Q172" i="2"/>
  <c r="Q171" i="2"/>
  <c r="P171" i="2"/>
  <c r="Q170" i="2"/>
  <c r="Q169" i="2"/>
  <c r="P169" i="2"/>
  <c r="Q168" i="2"/>
  <c r="Q167" i="2"/>
  <c r="P167" i="2"/>
  <c r="Q166" i="2"/>
  <c r="Q165" i="2"/>
  <c r="P165" i="2"/>
  <c r="Q164" i="2"/>
  <c r="Q163" i="2"/>
  <c r="P163" i="2"/>
  <c r="I185" i="2"/>
  <c r="H185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3" i="2"/>
  <c r="H173" i="2"/>
  <c r="I172" i="2"/>
  <c r="H172" i="2"/>
  <c r="I171" i="2"/>
  <c r="H171" i="2"/>
  <c r="I169" i="2"/>
  <c r="H169" i="2"/>
  <c r="I168" i="2"/>
  <c r="H168" i="2"/>
  <c r="I167" i="2"/>
  <c r="H167" i="2"/>
  <c r="I165" i="2"/>
  <c r="H165" i="2"/>
  <c r="I164" i="2"/>
  <c r="H164" i="2"/>
  <c r="I163" i="2"/>
  <c r="H163" i="2"/>
  <c r="L164" i="2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5" i="2" s="1"/>
  <c r="P185" i="2" s="1"/>
  <c r="C174" i="2"/>
  <c r="C176" i="2" s="1"/>
  <c r="C170" i="2"/>
  <c r="C172" i="2" s="1"/>
  <c r="C166" i="2"/>
  <c r="C168" i="2" s="1"/>
  <c r="B168" i="2"/>
  <c r="B167" i="2"/>
  <c r="B172" i="2"/>
  <c r="B171" i="2"/>
  <c r="B176" i="2"/>
  <c r="B175" i="2"/>
  <c r="B173" i="2"/>
  <c r="B169" i="2"/>
  <c r="B165" i="2"/>
  <c r="E178" i="2"/>
  <c r="B162" i="2"/>
  <c r="A162" i="2" s="1"/>
  <c r="C169" i="2" l="1"/>
  <c r="P177" i="2"/>
  <c r="P179" i="2"/>
  <c r="P181" i="2"/>
  <c r="P164" i="2"/>
  <c r="P166" i="2"/>
  <c r="P168" i="2"/>
  <c r="P170" i="2"/>
  <c r="P172" i="2"/>
  <c r="P174" i="2"/>
  <c r="P176" i="2"/>
  <c r="P178" i="2"/>
  <c r="P180" i="2"/>
  <c r="P182" i="2"/>
  <c r="P183" i="2"/>
  <c r="C175" i="2"/>
  <c r="C173" i="2"/>
  <c r="C171" i="2"/>
  <c r="C165" i="2"/>
  <c r="C167" i="2"/>
  <c r="R150" i="2" l="1"/>
  <c r="R146" i="2"/>
  <c r="R142" i="2"/>
  <c r="E142" i="2"/>
  <c r="H142" i="2"/>
  <c r="E144" i="2"/>
  <c r="I144" i="2"/>
  <c r="H144" i="2" s="1"/>
  <c r="J144" i="2"/>
  <c r="E146" i="2"/>
  <c r="H146" i="2"/>
  <c r="E148" i="2"/>
  <c r="I148" i="2"/>
  <c r="H148" i="2" s="1"/>
  <c r="J148" i="2"/>
  <c r="E150" i="2"/>
  <c r="H150" i="2"/>
  <c r="E152" i="2"/>
  <c r="I152" i="2"/>
  <c r="H152" i="2" s="1"/>
  <c r="J152" i="2"/>
  <c r="E155" i="2"/>
  <c r="B139" i="2"/>
  <c r="A139" i="2" s="1"/>
  <c r="E119" i="2" l="1"/>
  <c r="E130" i="2" l="1"/>
  <c r="J127" i="2"/>
  <c r="I127" i="2"/>
  <c r="H127" i="2" s="1"/>
  <c r="E127" i="2"/>
  <c r="J123" i="2"/>
  <c r="I123" i="2"/>
  <c r="H123" i="2" s="1"/>
  <c r="J119" i="2"/>
  <c r="I119" i="2"/>
  <c r="H119" i="2" s="1"/>
  <c r="E123" i="2" l="1"/>
  <c r="H125" i="2"/>
  <c r="E125" i="2"/>
  <c r="H121" i="2"/>
  <c r="E121" i="2"/>
  <c r="H117" i="2"/>
  <c r="E117" i="2"/>
  <c r="B114" i="2"/>
  <c r="A114" i="2" s="1"/>
  <c r="E109" i="2" l="1"/>
  <c r="H108" i="2"/>
  <c r="E108" i="2"/>
  <c r="H107" i="2"/>
  <c r="E107" i="2"/>
  <c r="H106" i="2"/>
  <c r="E106" i="2"/>
  <c r="H102" i="2"/>
  <c r="E102" i="2"/>
  <c r="H101" i="2"/>
  <c r="E101" i="2"/>
  <c r="H100" i="2"/>
  <c r="E100" i="2"/>
  <c r="B99" i="2"/>
  <c r="A99" i="2" s="1"/>
  <c r="H93" i="2" l="1"/>
  <c r="H92" i="2"/>
  <c r="H91" i="2"/>
  <c r="E94" i="2" l="1"/>
  <c r="E93" i="2" l="1"/>
  <c r="E92" i="2"/>
  <c r="E91" i="2"/>
  <c r="H87" i="2"/>
  <c r="E87" i="2"/>
  <c r="H86" i="2"/>
  <c r="E86" i="2"/>
  <c r="H85" i="2"/>
  <c r="E85" i="2"/>
  <c r="B84" i="2"/>
  <c r="A84" i="2" s="1"/>
  <c r="E81" i="2" l="1"/>
  <c r="H76" i="2"/>
  <c r="E76" i="2"/>
  <c r="H75" i="2"/>
  <c r="E75" i="2"/>
  <c r="H74" i="2"/>
  <c r="E74" i="2"/>
  <c r="H70" i="2"/>
  <c r="E70" i="2"/>
  <c r="H69" i="2"/>
  <c r="E69" i="2"/>
  <c r="H68" i="2"/>
  <c r="E68" i="2"/>
  <c r="B67" i="2"/>
  <c r="A67" i="2" s="1"/>
  <c r="H59" i="2" l="1"/>
  <c r="H58" i="2"/>
  <c r="H57" i="2"/>
  <c r="H53" i="2"/>
  <c r="E53" i="2"/>
  <c r="H51" i="2"/>
  <c r="E59" i="2"/>
  <c r="E58" i="2"/>
  <c r="E57" i="2"/>
  <c r="H52" i="2"/>
  <c r="E52" i="2"/>
  <c r="E51" i="2"/>
  <c r="E64" i="2" l="1"/>
  <c r="B50" i="2"/>
  <c r="A50" i="2" s="1"/>
  <c r="E47" i="2" l="1"/>
  <c r="H46" i="2"/>
  <c r="E46" i="2"/>
  <c r="H45" i="2"/>
  <c r="E45" i="2"/>
  <c r="B44" i="2"/>
  <c r="A44" i="2" s="1"/>
  <c r="H41" i="2" l="1"/>
  <c r="H36" i="2"/>
  <c r="H31" i="2"/>
  <c r="H26" i="2"/>
  <c r="H21" i="2"/>
  <c r="H16" i="2"/>
  <c r="H40" i="2" l="1"/>
  <c r="H35" i="2"/>
  <c r="H30" i="2"/>
  <c r="H25" i="2"/>
  <c r="B19" i="2"/>
  <c r="A19" i="2" s="1"/>
  <c r="E42" i="2"/>
  <c r="E41" i="2"/>
  <c r="E40" i="2"/>
  <c r="B39" i="2"/>
  <c r="A39" i="2" s="1"/>
  <c r="E37" i="2"/>
  <c r="E36" i="2"/>
  <c r="E35" i="2"/>
  <c r="B34" i="2"/>
  <c r="A34" i="2" s="1"/>
  <c r="E27" i="2"/>
  <c r="E26" i="2"/>
  <c r="E25" i="2"/>
  <c r="B24" i="2"/>
  <c r="A24" i="2" s="1"/>
  <c r="E22" i="2"/>
  <c r="E21" i="2"/>
  <c r="H20" i="2"/>
  <c r="E20" i="2"/>
  <c r="H15" i="2"/>
  <c r="E15" i="2" l="1"/>
  <c r="E31" i="2"/>
  <c r="E32" i="2"/>
  <c r="E17" i="2"/>
  <c r="E16" i="2"/>
  <c r="E30" i="2"/>
  <c r="B29" i="2" l="1"/>
  <c r="A29" i="2" s="1"/>
  <c r="B14" i="2" l="1"/>
  <c r="A14" i="2" s="1"/>
</calcChain>
</file>

<file path=xl/sharedStrings.xml><?xml version="1.0" encoding="utf-8"?>
<sst xmlns="http://schemas.openxmlformats.org/spreadsheetml/2006/main" count="1893" uniqueCount="203">
  <si>
    <t>M = 1000/R</t>
  </si>
  <si>
    <t>datafilesbelowhere</t>
  </si>
  <si>
    <t>newcalibration</t>
  </si>
  <si>
    <t>Station</t>
  </si>
  <si>
    <t>Latitude</t>
  </si>
  <si>
    <t>Altitude</t>
  </si>
  <si>
    <t>u95%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</si>
  <si>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</si>
  <si>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</si>
  <si>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</si>
  <si>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</si>
  <si>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</si>
  <si>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</si>
  <si>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</si>
  <si>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13</t>
  </si>
  <si>
    <t>Column 14</t>
  </si>
  <si>
    <t>Column 15</t>
  </si>
  <si>
    <t>StationName</t>
  </si>
  <si>
    <t>StationIDNumber</t>
  </si>
  <si>
    <t>Longitude (+ east)</t>
  </si>
  <si>
    <t>TimeZone (+ east)</t>
  </si>
  <si>
    <t>STW</t>
  </si>
  <si>
    <t>Seattle_Washington_USA</t>
  </si>
  <si>
    <t>Generates the PRN files (values from the program</t>
  </si>
  <si>
    <t>R = 1000/M</t>
  </si>
  <si>
    <t>Generates the .txt files (files in the folder "process"</t>
  </si>
  <si>
    <t>From 2016+ calibration method</t>
  </si>
  <si>
    <t>NOTES on PRN values</t>
  </si>
  <si>
    <t>NOTES on .txt values</t>
  </si>
  <si>
    <t>NOTES on 2016+ calibrations</t>
  </si>
  <si>
    <t>2015-09-30--23:00</t>
  </si>
  <si>
    <t>2017-08-01--11:40</t>
  </si>
  <si>
    <t>Temperature(STW)</t>
  </si>
  <si>
    <t>TEMP(STW)</t>
  </si>
  <si>
    <t>PSP(4)</t>
  </si>
  <si>
    <t>PSP(10)</t>
  </si>
  <si>
    <t>PSP(23620F3)</t>
  </si>
  <si>
    <t>PSP(17846F3)</t>
  </si>
  <si>
    <t>NIP(17009E6)</t>
  </si>
  <si>
    <t>NIP(11)</t>
  </si>
  <si>
    <t>R = computed from M</t>
  </si>
  <si>
    <t>M = From 2015 program</t>
  </si>
  <si>
    <t>M = From 2017 program</t>
  </si>
  <si>
    <t>-</t>
  </si>
  <si>
    <t>M = Computed from R</t>
  </si>
  <si>
    <t>Not enough information to change yet</t>
  </si>
  <si>
    <t>Educated guess</t>
  </si>
  <si>
    <t>2016-01-01--00:01</t>
  </si>
  <si>
    <t>2017-01-01--00:01</t>
  </si>
  <si>
    <t>2018-01-01--00:01</t>
  </si>
  <si>
    <t>2019-01-01--00:01</t>
  </si>
  <si>
    <t>R = From Step4 R(2009-2018) 2018.0</t>
  </si>
  <si>
    <t>R = From Step4 R(2001-2015) 2017.5</t>
  </si>
  <si>
    <t>R = From Step4 R(2001-2015) 2016.5</t>
  </si>
  <si>
    <t>R = From Step4 R(2001-2015) 2016.0</t>
  </si>
  <si>
    <t>U95% = From Step4 R(2001-2015) 2016.0</t>
  </si>
  <si>
    <t>U95% = From Step4 R(2001-2015) 2016.5</t>
  </si>
  <si>
    <t>U95% = From Step4 R(2001-2015) 2017.5</t>
  </si>
  <si>
    <t>U95% = From Step4 R(2009-2018) 2018.0</t>
  </si>
  <si>
    <t>R = From Step4 R(2009-2018) 2018.5</t>
  </si>
  <si>
    <t>U95% = From Step4 R(2009-2018) 2018.5</t>
  </si>
  <si>
    <t>U95% = From Step4 R(2009-2018) 2019.5</t>
  </si>
  <si>
    <t>R = From Step4 R(2009-2018) 2016.0</t>
  </si>
  <si>
    <t>From Step4 R(2009-2018) 2016.0</t>
  </si>
  <si>
    <t>R = From Step4 R(2009-2018) 2016.5</t>
  </si>
  <si>
    <t>From Step4 R(2009-2018) 2016.5</t>
  </si>
  <si>
    <t>R = From Step4 R(2009-2018) 2017.5</t>
  </si>
  <si>
    <t>From Step4 R(2009-2018) 2017.5</t>
  </si>
  <si>
    <t>From Step4 R(2009-2018) 2018.0</t>
  </si>
  <si>
    <t>From Step4 R(2009-2018) 2018.5</t>
  </si>
  <si>
    <t>From Step4 R(2009-2018) 2019.5</t>
  </si>
  <si>
    <t>R = From Step4 R(2009-2018), year = 2019.5</t>
  </si>
  <si>
    <t>M = From program "STW17_1min.csi"</t>
  </si>
  <si>
    <t>2020-01-01--00:01</t>
  </si>
  <si>
    <t>NA</t>
  </si>
  <si>
    <t>PSP(17846F3)_(04)_(STW).xlsx \ R(2009-2018)_2020.5</t>
  </si>
  <si>
    <t>Voltage</t>
  </si>
  <si>
    <t>Junk</t>
  </si>
  <si>
    <t>NIP(17009E6)_(11)_(STW).xlsx \ R(2009-2018)</t>
  </si>
  <si>
    <t>STW17_1MIN.CSI</t>
  </si>
  <si>
    <t>1000_SD</t>
  </si>
  <si>
    <t>2010_SD</t>
  </si>
  <si>
    <t>3000_SD</t>
  </si>
  <si>
    <t>PIR_Net_V</t>
  </si>
  <si>
    <t>PIR_Case_R</t>
  </si>
  <si>
    <t>PIR_Dome_R</t>
  </si>
  <si>
    <t>PIR(30923F3)</t>
  </si>
  <si>
    <t>PSP(17053F3)</t>
  </si>
  <si>
    <t>PSP(21)</t>
  </si>
  <si>
    <t>PIR_Net_I</t>
  </si>
  <si>
    <t>PIR_Case(Temp)</t>
  </si>
  <si>
    <t>PIR_Dome(Temp)</t>
  </si>
  <si>
    <t>PSP(17846F3)_Stdev</t>
  </si>
  <si>
    <t>GHI_Stdev</t>
  </si>
  <si>
    <t>NIP(17009E6)_Stdev</t>
  </si>
  <si>
    <t>PSP(17053F3)_Stdev</t>
  </si>
  <si>
    <t>DNI_Stdev</t>
  </si>
  <si>
    <t>DHI_Stdev</t>
  </si>
  <si>
    <t>STW_2020-08-06.CSI</t>
  </si>
  <si>
    <t>PIR_DW_I</t>
  </si>
  <si>
    <t>PIR(30923F3)_NET_I</t>
  </si>
  <si>
    <t>PIR(30923F3)_DW_I</t>
  </si>
  <si>
    <t>PIR(30923F3)_Case(Temp)</t>
  </si>
  <si>
    <t>PIR(30923F3)_Dome(Temp)</t>
  </si>
  <si>
    <t>PSP(17053F3)_(21).xlsx \R(2010-2019)</t>
  </si>
  <si>
    <t>No reason to change</t>
  </si>
  <si>
    <t xml:space="preserve">The PIR has not been calibrated in a long time. </t>
  </si>
  <si>
    <t>1/T = A + B Ln( R) + C Ln( R)^3, A = 1.0295*10^-3, B = 2.391*10^-4, C = 1.568*10^-7</t>
  </si>
  <si>
    <t xml:space="preserve">PIR_DW_I = (PIR_net_I) + (1 * sigma (Tcase^4)) + (4 * sigma (Tdome^4 - Tcase^4)), </t>
  </si>
  <si>
    <t>NOTE that the PIR_case resistiance is given in kiloohms (not Ohms)</t>
  </si>
  <si>
    <t>NOTE that the PIR_Dome resistiance is given in kiloohms (not Ohms)</t>
  </si>
  <si>
    <t>C36 = Mused/Mshouldbe * 36</t>
  </si>
  <si>
    <t>2020-08-01--00:01</t>
  </si>
  <si>
    <t>2021-01-01--00:01</t>
  </si>
  <si>
    <t>NIP(17009E6)_(11)_(STW).xlsx \ R(2015-2020)</t>
  </si>
  <si>
    <t>PSP(17053F3)_(21).xlsx \R(2011-2020)\2021.5</t>
  </si>
  <si>
    <t>PSP(17846F3)_(04)_(STW).xlsx \ R(2010-2020) \2021.5</t>
  </si>
  <si>
    <t>Multiplier (In program)</t>
  </si>
  <si>
    <t>Rused ( In Program)</t>
  </si>
  <si>
    <t>M</t>
  </si>
  <si>
    <t>R(secondary)  (to generate txt file) (may not be accurate) (from sitefile)</t>
  </si>
  <si>
    <t>Multiplier (should be)</t>
  </si>
  <si>
    <t>R(shouldbe) (From 2016 calibrations)</t>
  </si>
  <si>
    <t>GHI_PSP(4)</t>
  </si>
  <si>
    <t>DNI_NIP(11)</t>
  </si>
  <si>
    <t>DHI_PSP(21)</t>
  </si>
  <si>
    <t>GHI_PSP(4)_Stdev</t>
  </si>
  <si>
    <t>DNI_NIP(11)_Stdev</t>
  </si>
  <si>
    <t>DHI_PSP(21)_Stdev</t>
  </si>
  <si>
    <t>TEMP_STW</t>
  </si>
  <si>
    <t>2021-07-01--00:01</t>
  </si>
  <si>
    <t>SR20(5218)</t>
  </si>
  <si>
    <t>DHI_SR20(5218)</t>
  </si>
  <si>
    <t>GHI_SR20(4764)</t>
  </si>
  <si>
    <t>SR20(4764)</t>
  </si>
  <si>
    <t>SR20(4764)_Irr</t>
  </si>
  <si>
    <t>NIP(17009E6)_Irr</t>
  </si>
  <si>
    <t>SR20(5218)_Irr</t>
  </si>
  <si>
    <t>GHI_SR20(4764)_Irr</t>
  </si>
  <si>
    <t>DNI_NIP(11)_Irr</t>
  </si>
  <si>
    <t>DHI_SR20(5218)_Irr</t>
  </si>
  <si>
    <t>SR20(4764)_Stdev</t>
  </si>
  <si>
    <t>SR20(5218)_Stdev</t>
  </si>
  <si>
    <t>GHI_SR20(4764)_Stdev</t>
  </si>
  <si>
    <t>DHI_SR20(5218)_Stdev</t>
  </si>
  <si>
    <t>SR20(4764)_Temp</t>
  </si>
  <si>
    <t>SR20(5218)_Temp</t>
  </si>
  <si>
    <t>GHI_SR20(4764)_Temp</t>
  </si>
  <si>
    <t>DHI_SR20(5218)_Temp</t>
  </si>
  <si>
    <t>STW_2021-07-12.CSI</t>
  </si>
  <si>
    <t>SR20_4764(STW_GHI).xlsx \ R(2021-2021)</t>
  </si>
  <si>
    <t>SR20_5218(STW_DHI).xlsx \ R(2021-2021)</t>
  </si>
  <si>
    <t>The prn of the first 15 days of the 2021-07 were edited so that the previous PSP data was mimiked as a the new SR20 instrument</t>
  </si>
  <si>
    <t>STW_2022-07-25.CR6</t>
  </si>
  <si>
    <t>2022-07-19--12:46</t>
  </si>
  <si>
    <t>SR20_4764(STW_GHI).xlsx \ R(2021-2022)</t>
  </si>
  <si>
    <t>NIP(17009E6)_(11)_(STW).xlsx \ R(2015-2022)</t>
  </si>
  <si>
    <t>SR20_5218(STW_DHI).xlsx \ R(2021-2022)</t>
  </si>
  <si>
    <t>2024-02-01--00:01</t>
  </si>
  <si>
    <t>SZA_Logger</t>
  </si>
  <si>
    <t>AZM_Logger</t>
  </si>
  <si>
    <t>GHI_Calc_Logger</t>
  </si>
  <si>
    <t>Battery_Voltage</t>
  </si>
  <si>
    <t>Logger_Temperature</t>
  </si>
  <si>
    <t>SR20(4764)_Irr_Stdev</t>
  </si>
  <si>
    <t>GHI_SR20(4764)_Irr_Stdev</t>
  </si>
  <si>
    <t>NIP(17009E6)_Irr_Stdev</t>
  </si>
  <si>
    <t>DNI_NIP(11)_Irr_Stdev</t>
  </si>
  <si>
    <t>SR20(5218)_Irr_Stdev</t>
  </si>
  <si>
    <t>DHI_SR20(5218)_Irr_Stdev</t>
  </si>
  <si>
    <t>Blank</t>
  </si>
  <si>
    <t>SR20(4764)_mv_nonTC</t>
  </si>
  <si>
    <t>GHI_SR20(4764)_mv_nonTC</t>
  </si>
  <si>
    <t>SR20(5218)_mv_nonTC</t>
  </si>
  <si>
    <t>DHI_SR20(5218)_mv_nonTC</t>
  </si>
  <si>
    <t>STW_2024-02-11.CR6</t>
  </si>
  <si>
    <t>SR20_4764(STW_GHI).xlsx \ R(2021-2023)</t>
  </si>
  <si>
    <t>NIP(17009E6)_(11)_(STW).xlsx \ R(2015-2023)</t>
  </si>
  <si>
    <t>SR20_5218(STW_DHI).xlsx \ R(2021-2023)</t>
  </si>
  <si>
    <t>2024-08-01--00:01</t>
  </si>
  <si>
    <t>CMP11(151961)</t>
  </si>
  <si>
    <t>CMP11(151960)</t>
  </si>
  <si>
    <t>CMP11(151961)_Irr</t>
  </si>
  <si>
    <t>CMP11(151961)_Stdev</t>
  </si>
  <si>
    <t>CMP11(151961)_Irr_Stdev</t>
  </si>
  <si>
    <t>CMP11(151960)_Irr</t>
  </si>
  <si>
    <t>CMP11(151960)_Stdev</t>
  </si>
  <si>
    <t>CMP11(151960)_Irr_Stdev</t>
  </si>
  <si>
    <t>NIP(27087E6)</t>
  </si>
  <si>
    <t>NIP(27087E6)_Irr</t>
  </si>
  <si>
    <t>NIP(27087E6)_Stdev</t>
  </si>
  <si>
    <t>NIP(27087E6)_Irr_Stdev</t>
  </si>
  <si>
    <t>CMP11(151961).xlsx \ R(2024.5)</t>
  </si>
  <si>
    <t>NIP(27087E6).xlsx \ R(2024.5)</t>
  </si>
  <si>
    <t>CMP11(151960).xlsx \ R(2024.5)</t>
  </si>
  <si>
    <t>GHI_VentStatus</t>
  </si>
  <si>
    <t>DHI_VentStatus</t>
  </si>
  <si>
    <t>2025-08-01--00:01</t>
  </si>
  <si>
    <t>Maintenance_Button</t>
  </si>
  <si>
    <t>Sensor Calibration .xslx_2025</t>
  </si>
  <si>
    <t>STW_2025-08-15.cr1</t>
  </si>
  <si>
    <t>CMP11(128907)</t>
  </si>
  <si>
    <t>CMP11(128906)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</si>
</sst>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"/>
    <numFmt numFmtId="165" formatCode="0.0000"/>
    <numFmt numFmtId="166" formatCode="0.000000"/>
    <numFmt numFmtId="167" formatCode="0.00000"/>
    <numFmt numFmtId="168" formatCode="0.0"/>
    <numFmt numFmtId="169" formatCode="0.000000000000"/>
    <numFmt numFmtId="170" formatCode="0.0000000000000"/>
    <numFmt numFmtId="171" formatCode="0.0000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10" xfId="0" applyFill="1" applyBorder="1"/>
    <xf numFmtId="0" fontId="0" fillId="0" borderId="0" xfId="0" applyFill="1"/>
    <xf numFmtId="0" fontId="0" fillId="0" borderId="0" xfId="0" applyFill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/>
    <xf numFmtId="0" fontId="0" fillId="34" borderId="10" xfId="0" applyFill="1" applyBorder="1"/>
    <xf numFmtId="0" fontId="0" fillId="0" borderId="10" xfId="0" applyFont="1" applyFill="1" applyBorder="1" applyAlignment="1">
      <alignment wrapText="1"/>
    </xf>
    <xf numFmtId="0" fontId="0" fillId="0" borderId="10" xfId="0" applyFont="1" applyFill="1" applyBorder="1"/>
    <xf numFmtId="0" fontId="0" fillId="33" borderId="10" xfId="0" applyFont="1" applyFill="1" applyBorder="1" applyAlignment="1">
      <alignment wrapText="1"/>
    </xf>
    <xf numFmtId="0" fontId="0" fillId="34" borderId="10" xfId="0" applyFont="1" applyFill="1" applyBorder="1" applyAlignment="1">
      <alignment wrapText="1"/>
    </xf>
    <xf numFmtId="167" fontId="0" fillId="0" borderId="10" xfId="0" applyNumberFormat="1" applyFont="1" applyFill="1" applyBorder="1"/>
    <xf numFmtId="168" fontId="0" fillId="0" borderId="10" xfId="0" applyNumberFormat="1" applyFont="1" applyFill="1" applyBorder="1"/>
    <xf numFmtId="169" fontId="0" fillId="0" borderId="10" xfId="0" applyNumberFormat="1" applyFont="1" applyFill="1" applyBorder="1"/>
    <xf numFmtId="164" fontId="0" fillId="0" borderId="0" xfId="0" applyNumberFormat="1" applyFill="1"/>
    <xf numFmtId="0" fontId="0" fillId="35" borderId="10" xfId="0" applyFont="1" applyFill="1" applyBorder="1" applyAlignment="1">
      <alignment wrapText="1"/>
    </xf>
    <xf numFmtId="0" fontId="16" fillId="36" borderId="10" xfId="0" applyFont="1" applyFill="1" applyBorder="1" applyAlignment="1">
      <alignment horizontal="center" vertical="center" wrapText="1"/>
    </xf>
    <xf numFmtId="0" fontId="0" fillId="36" borderId="10" xfId="0" applyFont="1" applyFill="1" applyBorder="1" applyAlignment="1">
      <alignment wrapText="1"/>
    </xf>
    <xf numFmtId="0" fontId="0" fillId="36" borderId="10" xfId="0" applyFont="1" applyFill="1" applyBorder="1"/>
    <xf numFmtId="0" fontId="0" fillId="36" borderId="10" xfId="0" applyFill="1" applyBorder="1"/>
    <xf numFmtId="167" fontId="0" fillId="0" borderId="10" xfId="0" applyNumberFormat="1" applyBorder="1"/>
    <xf numFmtId="1" fontId="0" fillId="0" borderId="10" xfId="0" applyNumberFormat="1" applyFont="1" applyFill="1" applyBorder="1"/>
    <xf numFmtId="0" fontId="0" fillId="33" borderId="10" xfId="0" applyFont="1" applyFill="1" applyBorder="1"/>
    <xf numFmtId="0" fontId="0" fillId="34" borderId="10" xfId="0" applyFont="1" applyFill="1" applyBorder="1"/>
    <xf numFmtId="0" fontId="0" fillId="35" borderId="10" xfId="0" applyFont="1" applyFill="1" applyBorder="1"/>
    <xf numFmtId="0" fontId="0" fillId="35" borderId="10" xfId="0" applyFill="1" applyBorder="1"/>
    <xf numFmtId="165" fontId="0" fillId="35" borderId="10" xfId="0" applyNumberFormat="1" applyFont="1" applyFill="1" applyBorder="1"/>
    <xf numFmtId="165" fontId="0" fillId="34" borderId="10" xfId="0" applyNumberFormat="1" applyFont="1" applyFill="1" applyBorder="1"/>
    <xf numFmtId="170" fontId="0" fillId="0" borderId="10" xfId="0" applyNumberFormat="1" applyFont="1" applyFill="1" applyBorder="1"/>
    <xf numFmtId="171" fontId="0" fillId="0" borderId="10" xfId="0" applyNumberFormat="1" applyFont="1" applyFill="1" applyBorder="1"/>
    <xf numFmtId="0" fontId="18" fillId="0" borderId="0" xfId="42" applyNumberFormat="1" applyFill="1"/>
    <xf numFmtId="166" fontId="18" fillId="0" borderId="0" xfId="42" applyNumberFormat="1" applyFill="1"/>
    <xf numFmtId="0" fontId="0" fillId="38" borderId="0" xfId="0" applyFill="1"/>
    <xf numFmtId="0" fontId="0" fillId="38" borderId="10" xfId="0" applyFont="1" applyFill="1" applyBorder="1"/>
    <xf numFmtId="0" fontId="0" fillId="38" borderId="10" xfId="0" applyFill="1" applyBorder="1"/>
    <xf numFmtId="0" fontId="0" fillId="39" borderId="10" xfId="0" applyFont="1" applyFill="1" applyBorder="1"/>
    <xf numFmtId="0" fontId="0" fillId="37" borderId="13" xfId="0" applyFont="1" applyFill="1" applyBorder="1"/>
    <xf numFmtId="166" fontId="0" fillId="0" borderId="0" xfId="0" applyNumberFormat="1" applyFill="1"/>
    <xf numFmtId="0" fontId="0" fillId="0" borderId="10" xfId="0" applyBorder="1" applyAlignment="1">
      <alignment wrapText="1"/>
    </xf>
    <xf numFmtId="0" fontId="0" fillId="40" borderId="10" xfId="0" applyFill="1" applyBorder="1" applyAlignment="1">
      <alignment wrapText="1"/>
    </xf>
    <xf numFmtId="0" fontId="0" fillId="41" borderId="10" xfId="0" applyFill="1" applyBorder="1" applyAlignment="1">
      <alignment wrapText="1"/>
    </xf>
    <xf numFmtId="0" fontId="0" fillId="42" borderId="10" xfId="0" applyFill="1" applyBorder="1" applyAlignment="1">
      <alignment wrapText="1"/>
    </xf>
    <xf numFmtId="0" fontId="0" fillId="0" borderId="10" xfId="0" applyBorder="1"/>
    <xf numFmtId="0" fontId="0" fillId="0" borderId="10" xfId="0" applyFill="1" applyBorder="1" applyAlignment="1"/>
    <xf numFmtId="0" fontId="0" fillId="33" borderId="10" xfId="0" applyFill="1" applyBorder="1" applyAlignment="1"/>
    <xf numFmtId="0" fontId="0" fillId="40" borderId="10" xfId="0" applyFill="1" applyBorder="1" applyAlignment="1"/>
    <xf numFmtId="0" fontId="0" fillId="41" borderId="10" xfId="0" applyFill="1" applyBorder="1" applyAlignment="1"/>
    <xf numFmtId="0" fontId="0" fillId="42" borderId="10" xfId="0" applyFill="1" applyBorder="1" applyAlignment="1"/>
    <xf numFmtId="0" fontId="0" fillId="0" borderId="10" xfId="0" applyBorder="1" applyAlignment="1"/>
    <xf numFmtId="0" fontId="0" fillId="0" borderId="0" xfId="0" applyAlignment="1"/>
    <xf numFmtId="1" fontId="0" fillId="38" borderId="10" xfId="0" applyNumberFormat="1" applyFont="1" applyFill="1" applyBorder="1"/>
    <xf numFmtId="169" fontId="0" fillId="38" borderId="10" xfId="0" applyNumberFormat="1" applyFont="1" applyFill="1" applyBorder="1"/>
    <xf numFmtId="0" fontId="0" fillId="38" borderId="10" xfId="0" applyFont="1" applyFill="1" applyBorder="1" applyAlignment="1">
      <alignment wrapText="1"/>
    </xf>
    <xf numFmtId="0" fontId="0" fillId="38" borderId="14" xfId="0" applyFont="1" applyFill="1" applyBorder="1"/>
    <xf numFmtId="0" fontId="0" fillId="38" borderId="15" xfId="0" applyFont="1" applyFill="1" applyBorder="1"/>
    <xf numFmtId="165" fontId="0" fillId="38" borderId="0" xfId="0" applyNumberFormat="1" applyFill="1"/>
    <xf numFmtId="165" fontId="0" fillId="38" borderId="10" xfId="0" applyNumberFormat="1" applyFill="1" applyBorder="1"/>
    <xf numFmtId="0" fontId="0" fillId="40" borderId="10" xfId="0" applyFill="1" applyBorder="1"/>
    <xf numFmtId="0" fontId="0" fillId="43" borderId="10" xfId="0" applyFill="1" applyBorder="1" applyAlignment="1">
      <alignment wrapText="1"/>
    </xf>
    <xf numFmtId="0" fontId="0" fillId="43" borderId="10" xfId="0" applyFill="1" applyBorder="1"/>
    <xf numFmtId="0" fontId="0" fillId="38" borderId="10" xfId="0" applyFill="1" applyBorder="1" applyAlignment="1">
      <alignment wrapText="1"/>
    </xf>
    <xf numFmtId="0" fontId="19" fillId="38" borderId="0" xfId="0" applyFont="1" applyFill="1"/>
    <xf numFmtId="0" fontId="0" fillId="43" borderId="10" xfId="0" applyFont="1" applyFill="1" applyBorder="1"/>
    <xf numFmtId="0" fontId="0" fillId="43" borderId="0" xfId="0" applyFont="1" applyFill="1"/>
    <xf numFmtId="0" fontId="0" fillId="43" borderId="10" xfId="0" applyFont="1" applyFill="1" applyBorder="1" applyAlignment="1">
      <alignment wrapText="1"/>
    </xf>
    <xf numFmtId="0" fontId="16" fillId="43" borderId="10" xfId="0" applyFont="1" applyFill="1" applyBorder="1" applyAlignment="1">
      <alignment horizontal="center" vertical="center" wrapText="1"/>
    </xf>
    <xf numFmtId="0" fontId="0" fillId="0" borderId="13" xfId="0" applyFill="1" applyBorder="1"/>
    <xf numFmtId="0" fontId="0" fillId="43" borderId="10" xfId="0" applyFill="1" applyBorder="1" applyAlignment="1"/>
    <xf numFmtId="165" fontId="0" fillId="43" borderId="10" xfId="0" applyNumberFormat="1" applyFont="1" applyFill="1" applyBorder="1"/>
    <xf numFmtId="0" fontId="0" fillId="42" borderId="10" xfId="0" applyFill="1" applyBorder="1"/>
    <xf numFmtId="165" fontId="0" fillId="34" borderId="10" xfId="0" applyNumberFormat="1" applyFill="1" applyBorder="1"/>
    <xf numFmtId="0" fontId="16" fillId="33" borderId="10" xfId="0" applyFont="1" applyFill="1" applyBorder="1" applyAlignment="1">
      <alignment horizontal="center" vertical="center" wrapText="1"/>
    </xf>
    <xf numFmtId="0" fontId="16" fillId="43" borderId="10" xfId="0" applyFont="1" applyFill="1" applyBorder="1" applyAlignment="1">
      <alignment horizontal="center" vertical="center" wrapText="1"/>
    </xf>
    <xf numFmtId="0" fontId="16" fillId="35" borderId="11" xfId="0" applyFont="1" applyFill="1" applyBorder="1" applyAlignment="1">
      <alignment horizontal="center" vertical="center" wrapText="1"/>
    </xf>
    <xf numFmtId="0" fontId="16" fillId="35" borderId="12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5"/>
  <sheetViews>
    <sheetView tabSelected="1" topLeftCell="A152" zoomScale="115" zoomScaleNormal="115" workbookViewId="0">
      <selection activeCell="I170" sqref="I170:J170"/>
    </sheetView>
  </sheetViews>
  <sheetFormatPr defaultRowHeight="14.4" x14ac:dyDescent="0.3"/>
  <cols>
    <col min="1" max="1" width="22.6640625" style="2" bestFit="1" customWidth="1"/>
    <col min="2" max="2" width="25" style="2" bestFit="1" customWidth="1"/>
    <col min="3" max="3" width="20.5546875" style="2" bestFit="1" customWidth="1"/>
    <col min="4" max="4" width="15.5546875" style="5" bestFit="1" customWidth="1"/>
    <col min="5" max="5" width="18.6640625" style="6" bestFit="1" customWidth="1"/>
    <col min="6" max="7" width="4.88671875" style="26" customWidth="1"/>
    <col min="8" max="9" width="18.6640625" style="60" bestFit="1" customWidth="1"/>
    <col min="10" max="10" width="10.33203125" style="60" bestFit="1" customWidth="1"/>
    <col min="11" max="11" width="3" style="20" customWidth="1"/>
    <col min="12" max="12" width="23.109375" style="7" bestFit="1" customWidth="1"/>
    <col min="13" max="13" width="22.88671875" style="7" bestFit="1" customWidth="1"/>
    <col min="14" max="15" width="4.33203125" style="26" customWidth="1"/>
    <col min="16" max="16" width="22.33203125" style="60" customWidth="1"/>
    <col min="17" max="17" width="33" style="60" customWidth="1"/>
    <col min="18" max="18" width="47.88671875" style="60" customWidth="1"/>
    <col min="19" max="19" width="10.5546875" bestFit="1" customWidth="1"/>
  </cols>
  <sheetData>
    <row r="1" spans="1:22" s="1" customFormat="1" ht="30" customHeight="1" x14ac:dyDescent="0.3">
      <c r="A1" s="8"/>
      <c r="B1" s="8"/>
      <c r="C1" s="8"/>
      <c r="D1" s="72" t="s">
        <v>23</v>
      </c>
      <c r="E1" s="72"/>
      <c r="F1" s="74" t="s">
        <v>25</v>
      </c>
      <c r="G1" s="75"/>
      <c r="H1" s="73" t="s">
        <v>26</v>
      </c>
      <c r="I1" s="73"/>
      <c r="J1" s="66"/>
      <c r="K1" s="17"/>
      <c r="L1" s="7" t="s">
        <v>27</v>
      </c>
      <c r="M1" s="7" t="s">
        <v>27</v>
      </c>
      <c r="N1" s="26" t="s">
        <v>28</v>
      </c>
      <c r="O1" s="26" t="s">
        <v>28</v>
      </c>
      <c r="P1" s="63" t="s">
        <v>29</v>
      </c>
      <c r="Q1" s="63" t="s">
        <v>29</v>
      </c>
      <c r="R1" s="63" t="s">
        <v>29</v>
      </c>
    </row>
    <row r="2" spans="1:22" s="1" customFormat="1" x14ac:dyDescent="0.3">
      <c r="A2" s="39"/>
      <c r="B2" s="39"/>
      <c r="C2" s="39"/>
      <c r="D2" s="5"/>
      <c r="E2" s="5"/>
      <c r="F2" s="40"/>
      <c r="G2" s="40"/>
      <c r="H2" s="41"/>
      <c r="I2" s="41"/>
      <c r="J2" s="41"/>
      <c r="K2" s="42"/>
      <c r="L2" s="43"/>
      <c r="M2" s="43"/>
      <c r="N2" s="43"/>
      <c r="O2" s="43"/>
      <c r="P2" s="60"/>
      <c r="Q2" s="60"/>
      <c r="R2" s="60"/>
      <c r="S2"/>
      <c r="T2"/>
      <c r="U2"/>
      <c r="V2"/>
    </row>
    <row r="3" spans="1:22" ht="43.2" x14ac:dyDescent="0.3">
      <c r="A3" s="9"/>
      <c r="B3" s="9"/>
      <c r="C3" s="9"/>
      <c r="D3" s="10" t="s">
        <v>0</v>
      </c>
      <c r="E3" s="10" t="s">
        <v>24</v>
      </c>
      <c r="F3" s="16" t="s">
        <v>0</v>
      </c>
      <c r="G3" s="16" t="s">
        <v>24</v>
      </c>
      <c r="H3" s="65" t="s">
        <v>0</v>
      </c>
      <c r="I3" s="65" t="s">
        <v>24</v>
      </c>
      <c r="J3" s="65" t="s">
        <v>6</v>
      </c>
      <c r="K3" s="18"/>
      <c r="R3" s="63"/>
    </row>
    <row r="4" spans="1:22" s="50" customFormat="1" x14ac:dyDescent="0.3">
      <c r="A4" s="44"/>
      <c r="B4" s="44"/>
      <c r="C4" s="44"/>
      <c r="D4" s="45" t="s">
        <v>117</v>
      </c>
      <c r="E4" s="45" t="s">
        <v>118</v>
      </c>
      <c r="F4" s="46" t="s">
        <v>119</v>
      </c>
      <c r="G4" s="46" t="s">
        <v>120</v>
      </c>
      <c r="H4" s="47" t="s">
        <v>121</v>
      </c>
      <c r="I4" s="47" t="s">
        <v>122</v>
      </c>
      <c r="J4" s="47" t="s">
        <v>6</v>
      </c>
      <c r="K4" s="48"/>
      <c r="L4" s="49"/>
      <c r="M4" s="49"/>
      <c r="N4" s="49"/>
      <c r="O4" s="49"/>
      <c r="P4" s="68"/>
      <c r="Q4" s="68"/>
      <c r="R4" s="68"/>
    </row>
    <row r="5" spans="1:22" s="3" customFormat="1" ht="86.4" x14ac:dyDescent="0.3">
      <c r="A5" s="9" t="s">
        <v>1</v>
      </c>
      <c r="B5" s="9" t="s">
        <v>1</v>
      </c>
      <c r="C5" s="9" t="s">
        <v>1</v>
      </c>
      <c r="D5" s="10" t="s">
        <v>1</v>
      </c>
      <c r="E5" s="23" t="s">
        <v>1</v>
      </c>
      <c r="F5" s="25" t="s">
        <v>1</v>
      </c>
      <c r="G5" s="25" t="s">
        <v>1</v>
      </c>
      <c r="H5" s="63" t="s">
        <v>1</v>
      </c>
      <c r="I5" s="63" t="s">
        <v>1</v>
      </c>
      <c r="J5" s="63"/>
      <c r="K5" s="19"/>
      <c r="L5" s="24" t="s">
        <v>1</v>
      </c>
      <c r="M5" s="24" t="s">
        <v>1</v>
      </c>
      <c r="N5" s="16" t="s">
        <v>1</v>
      </c>
      <c r="O5" s="25" t="s">
        <v>1</v>
      </c>
      <c r="P5" s="63"/>
      <c r="Q5" s="63"/>
      <c r="R5" s="63"/>
    </row>
    <row r="6" spans="1:22" s="3" customFormat="1" x14ac:dyDescent="0.3">
      <c r="A6" s="9" t="s">
        <v>18</v>
      </c>
      <c r="B6" s="9">
        <v>94291</v>
      </c>
      <c r="C6" s="9"/>
      <c r="D6" s="10"/>
      <c r="E6" s="10"/>
      <c r="F6" s="10"/>
      <c r="G6" s="10"/>
      <c r="H6" s="65"/>
      <c r="I6" s="65"/>
      <c r="J6" s="65"/>
      <c r="K6" s="19"/>
      <c r="L6" s="24"/>
      <c r="M6" s="24"/>
      <c r="N6" s="25"/>
      <c r="O6" s="25"/>
      <c r="P6" s="63"/>
      <c r="Q6" s="63"/>
      <c r="R6" s="63"/>
    </row>
    <row r="7" spans="1:22" s="3" customFormat="1" x14ac:dyDescent="0.3">
      <c r="A7" s="9" t="s">
        <v>3</v>
      </c>
      <c r="B7" s="9" t="s">
        <v>21</v>
      </c>
      <c r="C7" s="9"/>
      <c r="D7" s="10"/>
      <c r="E7" s="10"/>
      <c r="F7" s="10"/>
      <c r="G7" s="10"/>
      <c r="H7" s="65"/>
      <c r="I7" s="65"/>
      <c r="J7" s="65"/>
      <c r="K7" s="19"/>
      <c r="L7" s="24"/>
      <c r="M7" s="24"/>
      <c r="N7" s="25"/>
      <c r="O7" s="25"/>
      <c r="P7" s="63"/>
      <c r="Q7" s="63"/>
      <c r="R7" s="63"/>
    </row>
    <row r="8" spans="1:22" s="3" customFormat="1" x14ac:dyDescent="0.3">
      <c r="A8" s="9" t="s">
        <v>17</v>
      </c>
      <c r="B8" s="9" t="s">
        <v>22</v>
      </c>
      <c r="C8" s="9"/>
      <c r="D8" s="10"/>
      <c r="E8" s="10"/>
      <c r="F8" s="10"/>
      <c r="G8" s="10"/>
      <c r="H8" s="65"/>
      <c r="I8" s="65"/>
      <c r="J8" s="65"/>
      <c r="K8" s="19"/>
      <c r="L8" s="24"/>
      <c r="M8" s="24"/>
      <c r="N8" s="25"/>
      <c r="O8" s="25"/>
      <c r="P8" s="63"/>
      <c r="Q8" s="63"/>
      <c r="R8" s="63"/>
    </row>
    <row r="9" spans="1:22" s="4" customFormat="1" x14ac:dyDescent="0.3">
      <c r="A9" s="9" t="s">
        <v>19</v>
      </c>
      <c r="B9" s="31">
        <v>-122.30948100000001</v>
      </c>
      <c r="C9" s="21"/>
      <c r="D9" s="10"/>
      <c r="E9" s="10"/>
      <c r="F9" s="10"/>
      <c r="G9" s="10"/>
      <c r="H9" s="65"/>
      <c r="I9" s="65"/>
      <c r="J9" s="65"/>
      <c r="K9" s="18"/>
      <c r="L9" s="11"/>
      <c r="M9" s="11"/>
      <c r="N9" s="25"/>
      <c r="O9" s="25"/>
      <c r="P9" s="63"/>
      <c r="Q9" s="63"/>
      <c r="R9" s="65"/>
    </row>
    <row r="10" spans="1:22" s="3" customFormat="1" ht="15" customHeight="1" x14ac:dyDescent="0.3">
      <c r="A10" s="9" t="s">
        <v>4</v>
      </c>
      <c r="B10" s="32">
        <v>47.653871000000002</v>
      </c>
      <c r="C10" s="12"/>
      <c r="D10" s="10" t="s">
        <v>7</v>
      </c>
      <c r="E10" s="23" t="s">
        <v>8</v>
      </c>
      <c r="F10" s="16" t="s">
        <v>9</v>
      </c>
      <c r="G10" s="25" t="s">
        <v>10</v>
      </c>
      <c r="H10" s="63" t="s">
        <v>11</v>
      </c>
      <c r="I10" s="63" t="s">
        <v>12</v>
      </c>
      <c r="J10" s="65" t="s">
        <v>13</v>
      </c>
      <c r="K10" s="19"/>
      <c r="L10" s="24" t="s">
        <v>14</v>
      </c>
      <c r="M10" s="11" t="s">
        <v>15</v>
      </c>
      <c r="N10" s="25" t="s">
        <v>16</v>
      </c>
      <c r="O10" s="25" t="s">
        <v>16</v>
      </c>
      <c r="P10" s="63"/>
      <c r="Q10" s="63"/>
      <c r="R10" s="63"/>
    </row>
    <row r="11" spans="1:22" s="3" customFormat="1" x14ac:dyDescent="0.3">
      <c r="A11" s="9" t="s">
        <v>5</v>
      </c>
      <c r="B11" s="13">
        <v>70</v>
      </c>
      <c r="C11" s="13"/>
      <c r="D11" s="10"/>
      <c r="E11" s="23"/>
      <c r="F11" s="25"/>
      <c r="G11" s="25"/>
      <c r="H11" s="63"/>
      <c r="I11" s="63"/>
      <c r="J11" s="63"/>
      <c r="K11" s="19"/>
      <c r="L11" s="24"/>
      <c r="M11" s="24"/>
      <c r="N11" s="25"/>
      <c r="O11" s="25"/>
      <c r="P11" s="63"/>
      <c r="Q11" s="63"/>
      <c r="R11" s="63"/>
    </row>
    <row r="12" spans="1:22" s="3" customFormat="1" ht="15" customHeight="1" x14ac:dyDescent="0.3">
      <c r="A12" s="9" t="s">
        <v>20</v>
      </c>
      <c r="B12" s="13">
        <v>-8</v>
      </c>
      <c r="C12" s="13"/>
      <c r="D12" s="10"/>
      <c r="E12" s="23"/>
      <c r="F12" s="25"/>
      <c r="G12" s="25"/>
      <c r="H12" s="63"/>
      <c r="I12" s="63"/>
      <c r="J12" s="63"/>
      <c r="K12" s="19"/>
      <c r="L12" s="24"/>
      <c r="M12" s="24"/>
      <c r="N12" s="25"/>
      <c r="O12" s="25"/>
      <c r="P12" s="63"/>
      <c r="Q12" s="63"/>
      <c r="R12" s="63"/>
    </row>
    <row r="13" spans="1:22" s="3" customFormat="1" x14ac:dyDescent="0.3">
      <c r="A13" s="9" t="s">
        <v>2</v>
      </c>
      <c r="B13" s="9"/>
      <c r="C13" s="9"/>
      <c r="D13" s="10"/>
      <c r="E13" s="23"/>
      <c r="F13" s="25"/>
      <c r="G13" s="25"/>
      <c r="H13" s="63"/>
      <c r="I13" s="63"/>
      <c r="J13" s="63"/>
      <c r="K13" s="19"/>
      <c r="L13" s="24"/>
      <c r="M13" s="24"/>
      <c r="N13" s="25"/>
      <c r="O13" s="25"/>
      <c r="P13" s="63"/>
      <c r="Q13" s="63"/>
      <c r="R13" s="63"/>
    </row>
    <row r="14" spans="1:22" s="3" customFormat="1" x14ac:dyDescent="0.3">
      <c r="A14" s="14">
        <f>IF(LEN(C14)=17,LEFT(C14,4)+(B14-1)/(DATE(LEFT(C14,4)+1,1,1)-DATE(LEFT(C14,4),1,1)),"BAD DATE FORMAT")</f>
        <v>2015.7478310502283</v>
      </c>
      <c r="B14" s="15">
        <f>DATE(LEFT(C14,4),RIGHT(LEFT(C14,7),2),RIGHT(LEFT(C14,10),2))-DATE(LEFT(C14,4),1,1)+1+(RIGHT(LEFT(C14,14),2)*60+RIGHT(C14,2))/1440</f>
        <v>273.95833333333331</v>
      </c>
      <c r="C14" s="3" t="s">
        <v>30</v>
      </c>
      <c r="D14" s="10"/>
      <c r="E14" s="23"/>
      <c r="F14" s="25"/>
      <c r="G14" s="25"/>
      <c r="H14" s="63"/>
      <c r="I14" s="63"/>
      <c r="J14" s="63"/>
      <c r="K14" s="19"/>
      <c r="L14" s="28"/>
      <c r="M14" s="28"/>
      <c r="N14" s="27"/>
      <c r="O14" s="27"/>
      <c r="P14" s="69"/>
      <c r="Q14" s="69"/>
      <c r="R14" s="63"/>
    </row>
    <row r="15" spans="1:22" s="3" customFormat="1" x14ac:dyDescent="0.3">
      <c r="A15" s="22">
        <v>1000</v>
      </c>
      <c r="B15" s="15" t="s">
        <v>36</v>
      </c>
      <c r="C15" s="3" t="s">
        <v>35</v>
      </c>
      <c r="D15" s="10">
        <v>120.149</v>
      </c>
      <c r="E15" s="23">
        <f>1000/D15</f>
        <v>8.3229989429791349</v>
      </c>
      <c r="F15" s="25" t="s">
        <v>43</v>
      </c>
      <c r="G15" s="25" t="s">
        <v>43</v>
      </c>
      <c r="H15" s="63">
        <f>1000/I15</f>
        <v>120.40214315814821</v>
      </c>
      <c r="I15" s="63">
        <v>8.3055000000000003</v>
      </c>
      <c r="J15" s="63">
        <v>1.6168725409881399</v>
      </c>
      <c r="K15" s="19"/>
      <c r="L15" s="28" t="s">
        <v>41</v>
      </c>
      <c r="M15" s="28" t="s">
        <v>40</v>
      </c>
      <c r="N15" s="27" t="s">
        <v>43</v>
      </c>
      <c r="O15" s="27" t="s">
        <v>43</v>
      </c>
      <c r="P15" s="69" t="s">
        <v>44</v>
      </c>
      <c r="Q15" s="69" t="s">
        <v>54</v>
      </c>
      <c r="R15" s="63" t="s">
        <v>55</v>
      </c>
    </row>
    <row r="16" spans="1:22" s="3" customFormat="1" x14ac:dyDescent="0.3">
      <c r="A16" s="9">
        <v>2010</v>
      </c>
      <c r="B16" s="9" t="s">
        <v>38</v>
      </c>
      <c r="C16" s="9" t="s">
        <v>39</v>
      </c>
      <c r="D16" s="10">
        <v>118.85899999999999</v>
      </c>
      <c r="E16" s="23">
        <f>1000/D16</f>
        <v>8.4133300801790352</v>
      </c>
      <c r="F16" s="25" t="s">
        <v>43</v>
      </c>
      <c r="G16" s="25" t="s">
        <v>43</v>
      </c>
      <c r="H16" s="63">
        <f>1000/I16</f>
        <v>119.74040280671504</v>
      </c>
      <c r="I16" s="63">
        <v>8.3513999999999999</v>
      </c>
      <c r="J16" s="63">
        <v>1.9286659923145</v>
      </c>
      <c r="K16" s="19"/>
      <c r="L16" s="28" t="s">
        <v>41</v>
      </c>
      <c r="M16" s="28" t="s">
        <v>40</v>
      </c>
      <c r="N16" s="27" t="s">
        <v>43</v>
      </c>
      <c r="O16" s="27" t="s">
        <v>43</v>
      </c>
      <c r="P16" s="69" t="s">
        <v>44</v>
      </c>
      <c r="Q16" s="69" t="s">
        <v>62</v>
      </c>
      <c r="R16" s="63" t="s">
        <v>63</v>
      </c>
    </row>
    <row r="17" spans="1:18" s="3" customFormat="1" x14ac:dyDescent="0.3">
      <c r="A17" s="9">
        <v>9300</v>
      </c>
      <c r="B17" s="2" t="s">
        <v>32</v>
      </c>
      <c r="C17" s="2" t="s">
        <v>33</v>
      </c>
      <c r="D17" s="23">
        <v>1</v>
      </c>
      <c r="E17" s="23">
        <f>1000/D17</f>
        <v>1000</v>
      </c>
      <c r="F17" s="25" t="s">
        <v>43</v>
      </c>
      <c r="G17" s="25" t="s">
        <v>43</v>
      </c>
      <c r="H17" s="63">
        <v>1</v>
      </c>
      <c r="I17" s="64">
        <v>1000</v>
      </c>
      <c r="J17" s="63">
        <v>1</v>
      </c>
      <c r="K17" s="19"/>
      <c r="L17" s="28" t="s">
        <v>41</v>
      </c>
      <c r="M17" s="28" t="s">
        <v>40</v>
      </c>
      <c r="N17" s="27" t="s">
        <v>43</v>
      </c>
      <c r="O17" s="27" t="s">
        <v>43</v>
      </c>
      <c r="P17" s="69" t="s">
        <v>44</v>
      </c>
      <c r="Q17" s="69" t="s">
        <v>45</v>
      </c>
      <c r="R17" s="63" t="s">
        <v>46</v>
      </c>
    </row>
    <row r="18" spans="1:18" s="3" customFormat="1" x14ac:dyDescent="0.3">
      <c r="A18" s="9" t="s">
        <v>2</v>
      </c>
      <c r="B18" s="9"/>
      <c r="C18" s="9"/>
      <c r="D18" s="10"/>
      <c r="E18" s="23"/>
      <c r="F18" s="25"/>
      <c r="G18" s="25"/>
      <c r="H18" s="63"/>
      <c r="I18" s="63"/>
      <c r="J18" s="63"/>
      <c r="K18" s="19"/>
      <c r="L18" s="24"/>
      <c r="M18" s="24"/>
      <c r="N18" s="25"/>
      <c r="O18" s="25"/>
      <c r="P18" s="63"/>
      <c r="Q18" s="63"/>
      <c r="R18" s="63"/>
    </row>
    <row r="19" spans="1:18" s="3" customFormat="1" x14ac:dyDescent="0.3">
      <c r="A19" s="30">
        <f>IF(LEN(C19)=17,LEFT(C19,4)+(B19-1)/(DATE(LEFT(C19,4)+1,1,1)-DATE(LEFT(C19,4),1,1)),"BAD DATE FORMAT")</f>
        <v>2016.0000018973892</v>
      </c>
      <c r="B19" s="15">
        <f>DATE(LEFT(C19,4),RIGHT(LEFT(C19,7),2),RIGHT(LEFT(C19,10),2))-DATE(LEFT(C19,4),1,1)+1+(RIGHT(LEFT(C19,14),2)*60+RIGHT(C19,2))/1440</f>
        <v>1.0006944444444446</v>
      </c>
      <c r="C19" s="3" t="s">
        <v>47</v>
      </c>
      <c r="D19" s="10"/>
      <c r="E19" s="23"/>
      <c r="F19" s="25"/>
      <c r="G19" s="25"/>
      <c r="H19" s="63"/>
      <c r="I19" s="63"/>
      <c r="J19" s="63"/>
      <c r="K19" s="19"/>
      <c r="L19" s="28"/>
      <c r="M19" s="28"/>
      <c r="N19" s="27"/>
      <c r="O19" s="27"/>
      <c r="P19" s="69"/>
      <c r="Q19" s="69"/>
      <c r="R19" s="63"/>
    </row>
    <row r="20" spans="1:18" s="3" customFormat="1" x14ac:dyDescent="0.3">
      <c r="A20" s="22">
        <v>1000</v>
      </c>
      <c r="B20" s="15" t="s">
        <v>36</v>
      </c>
      <c r="C20" s="3" t="s">
        <v>35</v>
      </c>
      <c r="D20" s="10">
        <v>120.149</v>
      </c>
      <c r="E20" s="23">
        <f>1000/D20</f>
        <v>8.3229989429791349</v>
      </c>
      <c r="F20" s="25" t="s">
        <v>43</v>
      </c>
      <c r="G20" s="25" t="s">
        <v>43</v>
      </c>
      <c r="H20" s="63">
        <f>1000/I20</f>
        <v>120.54583152514586</v>
      </c>
      <c r="I20" s="63">
        <v>8.2956000000000003</v>
      </c>
      <c r="J20" s="63">
        <v>1.6188010157323101</v>
      </c>
      <c r="K20" s="19"/>
      <c r="L20" s="28" t="s">
        <v>41</v>
      </c>
      <c r="M20" s="28" t="s">
        <v>40</v>
      </c>
      <c r="N20" s="27" t="s">
        <v>43</v>
      </c>
      <c r="O20" s="27" t="s">
        <v>43</v>
      </c>
      <c r="P20" s="69" t="s">
        <v>44</v>
      </c>
      <c r="Q20" s="69" t="s">
        <v>53</v>
      </c>
      <c r="R20" s="63" t="s">
        <v>56</v>
      </c>
    </row>
    <row r="21" spans="1:18" s="3" customFormat="1" x14ac:dyDescent="0.3">
      <c r="A21" s="9">
        <v>2010</v>
      </c>
      <c r="B21" s="9" t="s">
        <v>38</v>
      </c>
      <c r="C21" s="9" t="s">
        <v>39</v>
      </c>
      <c r="D21" s="10">
        <v>118.85899999999999</v>
      </c>
      <c r="E21" s="23">
        <f>1000/D21</f>
        <v>8.4133300801790352</v>
      </c>
      <c r="F21" s="25" t="s">
        <v>43</v>
      </c>
      <c r="G21" s="25" t="s">
        <v>43</v>
      </c>
      <c r="H21" s="63">
        <f>1000/I21</f>
        <v>119.74040280671504</v>
      </c>
      <c r="I21" s="63">
        <v>8.3513999999999999</v>
      </c>
      <c r="J21" s="63">
        <v>1.9286659923145</v>
      </c>
      <c r="K21" s="19"/>
      <c r="L21" s="28" t="s">
        <v>41</v>
      </c>
      <c r="M21" s="28" t="s">
        <v>40</v>
      </c>
      <c r="N21" s="27" t="s">
        <v>43</v>
      </c>
      <c r="O21" s="27" t="s">
        <v>43</v>
      </c>
      <c r="P21" s="69" t="s">
        <v>44</v>
      </c>
      <c r="Q21" s="69" t="s">
        <v>64</v>
      </c>
      <c r="R21" s="63" t="s">
        <v>65</v>
      </c>
    </row>
    <row r="22" spans="1:18" s="3" customFormat="1" x14ac:dyDescent="0.3">
      <c r="A22" s="9">
        <v>9300</v>
      </c>
      <c r="B22" s="2" t="s">
        <v>32</v>
      </c>
      <c r="C22" s="2" t="s">
        <v>33</v>
      </c>
      <c r="D22" s="23">
        <v>1</v>
      </c>
      <c r="E22" s="23">
        <f>1000/D22</f>
        <v>1000</v>
      </c>
      <c r="F22" s="25" t="s">
        <v>43</v>
      </c>
      <c r="G22" s="25" t="s">
        <v>43</v>
      </c>
      <c r="H22" s="63">
        <v>1</v>
      </c>
      <c r="I22" s="64">
        <v>1000</v>
      </c>
      <c r="J22" s="63">
        <v>1</v>
      </c>
      <c r="K22" s="19"/>
      <c r="L22" s="28" t="s">
        <v>41</v>
      </c>
      <c r="M22" s="28" t="s">
        <v>40</v>
      </c>
      <c r="N22" s="27" t="s">
        <v>43</v>
      </c>
      <c r="O22" s="27" t="s">
        <v>43</v>
      </c>
      <c r="P22" s="69" t="s">
        <v>44</v>
      </c>
      <c r="Q22" s="69" t="s">
        <v>45</v>
      </c>
      <c r="R22" s="63" t="s">
        <v>46</v>
      </c>
    </row>
    <row r="23" spans="1:18" s="3" customFormat="1" x14ac:dyDescent="0.3">
      <c r="A23" s="9" t="s">
        <v>2</v>
      </c>
      <c r="B23" s="9"/>
      <c r="C23" s="9"/>
      <c r="D23" s="10"/>
      <c r="E23" s="23"/>
      <c r="F23" s="25"/>
      <c r="G23" s="25"/>
      <c r="H23" s="63"/>
      <c r="I23" s="63"/>
      <c r="J23" s="63"/>
      <c r="K23" s="19"/>
      <c r="L23" s="24"/>
      <c r="M23" s="24"/>
      <c r="N23" s="25"/>
      <c r="O23" s="25"/>
      <c r="P23" s="63"/>
      <c r="Q23" s="63"/>
      <c r="R23" s="63"/>
    </row>
    <row r="24" spans="1:18" s="3" customFormat="1" x14ac:dyDescent="0.3">
      <c r="A24" s="29">
        <f>IF(LEN(C24)=17,LEFT(C24,4)+(B24-1)/(DATE(LEFT(C24,4)+1,1,1)-DATE(LEFT(C24,4),1,1)),"BAD DATE FORMAT")</f>
        <v>2017.0000019025874</v>
      </c>
      <c r="B24" s="15">
        <f>DATE(LEFT(C24,4),RIGHT(LEFT(C24,7),2),RIGHT(LEFT(C24,10),2))-DATE(LEFT(C24,4),1,1)+1+(RIGHT(LEFT(C24,14),2)*60+RIGHT(C24,2))/1440</f>
        <v>1.0006944444444446</v>
      </c>
      <c r="C24" s="3" t="s">
        <v>48</v>
      </c>
      <c r="D24" s="10"/>
      <c r="E24" s="23"/>
      <c r="F24" s="25"/>
      <c r="G24" s="25"/>
      <c r="H24" s="63"/>
      <c r="I24" s="63"/>
      <c r="J24" s="63"/>
      <c r="K24" s="19"/>
      <c r="L24" s="28"/>
      <c r="M24" s="28"/>
      <c r="N24" s="27"/>
      <c r="O24" s="27"/>
      <c r="P24" s="69"/>
      <c r="Q24" s="69"/>
      <c r="R24" s="63"/>
    </row>
    <row r="25" spans="1:18" s="3" customFormat="1" x14ac:dyDescent="0.3">
      <c r="A25" s="22">
        <v>1000</v>
      </c>
      <c r="B25" s="15" t="s">
        <v>36</v>
      </c>
      <c r="C25" s="3" t="s">
        <v>35</v>
      </c>
      <c r="D25" s="10">
        <v>120.149</v>
      </c>
      <c r="E25" s="23">
        <f>1000/D25</f>
        <v>8.3229989429791349</v>
      </c>
      <c r="F25" s="25" t="s">
        <v>43</v>
      </c>
      <c r="G25" s="25" t="s">
        <v>43</v>
      </c>
      <c r="H25" s="63">
        <f>1000/I25</f>
        <v>120.83277951642721</v>
      </c>
      <c r="I25" s="63">
        <v>8.2759</v>
      </c>
      <c r="J25" s="63">
        <v>1.6226717989921</v>
      </c>
      <c r="K25" s="19"/>
      <c r="L25" s="28" t="s">
        <v>41</v>
      </c>
      <c r="M25" s="28" t="s">
        <v>40</v>
      </c>
      <c r="N25" s="27" t="s">
        <v>43</v>
      </c>
      <c r="O25" s="27" t="s">
        <v>43</v>
      </c>
      <c r="P25" s="69" t="s">
        <v>44</v>
      </c>
      <c r="Q25" s="69" t="s">
        <v>52</v>
      </c>
      <c r="R25" s="63" t="s">
        <v>57</v>
      </c>
    </row>
    <row r="26" spans="1:18" s="3" customFormat="1" x14ac:dyDescent="0.3">
      <c r="A26" s="9">
        <v>2010</v>
      </c>
      <c r="B26" s="9" t="s">
        <v>38</v>
      </c>
      <c r="C26" s="9" t="s">
        <v>39</v>
      </c>
      <c r="D26" s="10">
        <v>118.85899999999999</v>
      </c>
      <c r="E26" s="23">
        <f>1000/D26</f>
        <v>8.4133300801790352</v>
      </c>
      <c r="F26" s="25" t="s">
        <v>43</v>
      </c>
      <c r="G26" s="25" t="s">
        <v>43</v>
      </c>
      <c r="H26" s="63">
        <f>1000/I26</f>
        <v>119.74040280671504</v>
      </c>
      <c r="I26" s="63">
        <v>8.3513999999999999</v>
      </c>
      <c r="J26" s="63">
        <v>1.9286659923145</v>
      </c>
      <c r="K26" s="19"/>
      <c r="L26" s="28" t="s">
        <v>41</v>
      </c>
      <c r="M26" s="28" t="s">
        <v>40</v>
      </c>
      <c r="N26" s="27" t="s">
        <v>43</v>
      </c>
      <c r="O26" s="27" t="s">
        <v>43</v>
      </c>
      <c r="P26" s="69" t="s">
        <v>44</v>
      </c>
      <c r="Q26" s="69" t="s">
        <v>66</v>
      </c>
      <c r="R26" s="63" t="s">
        <v>67</v>
      </c>
    </row>
    <row r="27" spans="1:18" s="3" customFormat="1" x14ac:dyDescent="0.3">
      <c r="A27" s="9">
        <v>9300</v>
      </c>
      <c r="B27" s="2" t="s">
        <v>32</v>
      </c>
      <c r="C27" s="2" t="s">
        <v>33</v>
      </c>
      <c r="D27" s="23">
        <v>1</v>
      </c>
      <c r="E27" s="23">
        <f>1000/D27</f>
        <v>1000</v>
      </c>
      <c r="F27" s="25" t="s">
        <v>43</v>
      </c>
      <c r="G27" s="25" t="s">
        <v>43</v>
      </c>
      <c r="H27" s="63">
        <v>1</v>
      </c>
      <c r="I27" s="64">
        <v>1000</v>
      </c>
      <c r="J27" s="63">
        <v>1</v>
      </c>
      <c r="K27" s="19"/>
      <c r="L27" s="28" t="s">
        <v>41</v>
      </c>
      <c r="M27" s="28" t="s">
        <v>40</v>
      </c>
      <c r="N27" s="27" t="s">
        <v>43</v>
      </c>
      <c r="O27" s="27" t="s">
        <v>43</v>
      </c>
      <c r="P27" s="69" t="s">
        <v>44</v>
      </c>
      <c r="Q27" s="69" t="s">
        <v>45</v>
      </c>
      <c r="R27" s="63" t="s">
        <v>46</v>
      </c>
    </row>
    <row r="28" spans="1:18" s="3" customFormat="1" x14ac:dyDescent="0.3">
      <c r="A28" s="9" t="s">
        <v>2</v>
      </c>
      <c r="B28" s="9"/>
      <c r="C28" s="9"/>
      <c r="D28" s="10"/>
      <c r="E28" s="23"/>
      <c r="F28" s="25"/>
      <c r="G28" s="25"/>
      <c r="H28" s="63"/>
      <c r="I28" s="63"/>
      <c r="J28" s="63"/>
      <c r="K28" s="19"/>
      <c r="L28" s="24"/>
      <c r="M28" s="24"/>
      <c r="N28" s="25"/>
      <c r="O28" s="25"/>
      <c r="P28" s="63"/>
      <c r="Q28" s="63"/>
      <c r="R28" s="63"/>
    </row>
    <row r="29" spans="1:18" s="3" customFormat="1" x14ac:dyDescent="0.3">
      <c r="A29" s="14">
        <f>IF(LEN(C29)=17,LEFT(C29,4)+(B29-1)/(DATE(LEFT(C29,4)+1,1,1)-DATE(LEFT(C29,4),1,1)),"BAD DATE FORMAT")</f>
        <v>2017.5821537290715</v>
      </c>
      <c r="B29" s="15">
        <f>DATE(LEFT(C29,4),RIGHT(LEFT(C29,7),2),RIGHT(LEFT(C29,10),2))-DATE(LEFT(C29,4),1,1)+1+(RIGHT(LEFT(C29,14),2)*60+RIGHT(C29,2))/1440</f>
        <v>213.48611111111111</v>
      </c>
      <c r="C29" s="3" t="s">
        <v>31</v>
      </c>
      <c r="D29" s="10"/>
      <c r="E29" s="23"/>
      <c r="F29" s="25"/>
      <c r="G29" s="25"/>
      <c r="H29" s="63"/>
      <c r="I29" s="63"/>
      <c r="J29" s="63"/>
      <c r="K29" s="19"/>
      <c r="L29" s="28"/>
      <c r="M29" s="28"/>
      <c r="N29" s="27"/>
      <c r="O29" s="27"/>
      <c r="P29" s="69"/>
      <c r="Q29" s="69"/>
      <c r="R29" s="63"/>
    </row>
    <row r="30" spans="1:18" x14ac:dyDescent="0.3">
      <c r="A30" s="22">
        <v>1000</v>
      </c>
      <c r="B30" s="2" t="s">
        <v>37</v>
      </c>
      <c r="C30" s="2" t="s">
        <v>34</v>
      </c>
      <c r="D30" s="10">
        <v>142.197</v>
      </c>
      <c r="E30" s="23">
        <f>1000/D30</f>
        <v>7.032497169419889</v>
      </c>
      <c r="F30" s="25" t="s">
        <v>43</v>
      </c>
      <c r="G30" s="25" t="s">
        <v>43</v>
      </c>
      <c r="H30" s="63">
        <f>1000/I30</f>
        <v>142.12418811557538</v>
      </c>
      <c r="I30" s="60">
        <v>7.0361000000000002</v>
      </c>
      <c r="J30" s="60">
        <v>1.66982297226244</v>
      </c>
      <c r="L30" s="28" t="s">
        <v>42</v>
      </c>
      <c r="M30" s="28" t="s">
        <v>40</v>
      </c>
      <c r="N30" s="27" t="s">
        <v>43</v>
      </c>
      <c r="O30" s="27" t="s">
        <v>43</v>
      </c>
      <c r="P30" s="69" t="s">
        <v>44</v>
      </c>
      <c r="Q30" s="69" t="s">
        <v>51</v>
      </c>
      <c r="R30" s="63" t="s">
        <v>58</v>
      </c>
    </row>
    <row r="31" spans="1:18" x14ac:dyDescent="0.3">
      <c r="A31" s="9">
        <v>2010</v>
      </c>
      <c r="B31" s="9" t="s">
        <v>38</v>
      </c>
      <c r="C31" s="9" t="s">
        <v>39</v>
      </c>
      <c r="D31" s="10">
        <v>118.85899999999999</v>
      </c>
      <c r="E31" s="23">
        <f>1000/D31</f>
        <v>8.4133300801790352</v>
      </c>
      <c r="F31" s="25" t="s">
        <v>43</v>
      </c>
      <c r="G31" s="25" t="s">
        <v>43</v>
      </c>
      <c r="H31" s="63">
        <f>1000/I31</f>
        <v>119.74040280671504</v>
      </c>
      <c r="I31" s="63">
        <v>8.3513999999999999</v>
      </c>
      <c r="J31" s="63">
        <v>1.9286659923145</v>
      </c>
      <c r="L31" s="28" t="s">
        <v>42</v>
      </c>
      <c r="M31" s="28" t="s">
        <v>40</v>
      </c>
      <c r="N31" s="27" t="s">
        <v>43</v>
      </c>
      <c r="O31" s="27" t="s">
        <v>43</v>
      </c>
      <c r="P31" s="69" t="s">
        <v>44</v>
      </c>
      <c r="Q31" s="69" t="s">
        <v>51</v>
      </c>
      <c r="R31" s="63" t="s">
        <v>68</v>
      </c>
    </row>
    <row r="32" spans="1:18" x14ac:dyDescent="0.3">
      <c r="A32" s="9">
        <v>9300</v>
      </c>
      <c r="B32" s="2" t="s">
        <v>32</v>
      </c>
      <c r="C32" s="2" t="s">
        <v>33</v>
      </c>
      <c r="D32" s="23">
        <v>1</v>
      </c>
      <c r="E32" s="23">
        <f>1000/D32</f>
        <v>1000</v>
      </c>
      <c r="F32" s="25" t="s">
        <v>43</v>
      </c>
      <c r="G32" s="25" t="s">
        <v>43</v>
      </c>
      <c r="H32" s="63">
        <v>1</v>
      </c>
      <c r="I32" s="64">
        <v>1000</v>
      </c>
      <c r="J32" s="63">
        <v>1</v>
      </c>
      <c r="L32" s="28" t="s">
        <v>42</v>
      </c>
      <c r="M32" s="28" t="s">
        <v>40</v>
      </c>
      <c r="N32" s="27" t="s">
        <v>43</v>
      </c>
      <c r="O32" s="27" t="s">
        <v>43</v>
      </c>
      <c r="P32" s="69" t="s">
        <v>44</v>
      </c>
      <c r="Q32" s="69" t="s">
        <v>45</v>
      </c>
      <c r="R32" s="63" t="s">
        <v>46</v>
      </c>
    </row>
    <row r="33" spans="1:18" s="3" customFormat="1" x14ac:dyDescent="0.3">
      <c r="A33" s="9" t="s">
        <v>2</v>
      </c>
      <c r="B33" s="9"/>
      <c r="C33" s="9"/>
      <c r="D33" s="10"/>
      <c r="E33" s="23"/>
      <c r="F33" s="25"/>
      <c r="G33" s="25"/>
      <c r="H33" s="63"/>
      <c r="I33" s="63"/>
      <c r="J33" s="63"/>
      <c r="K33" s="19"/>
      <c r="L33" s="24"/>
      <c r="M33" s="24"/>
      <c r="N33" s="25"/>
      <c r="O33" s="25"/>
      <c r="P33" s="63"/>
      <c r="Q33" s="63"/>
      <c r="R33" s="63"/>
    </row>
    <row r="34" spans="1:18" s="3" customFormat="1" x14ac:dyDescent="0.3">
      <c r="A34" s="14">
        <f>IF(LEN(C34)=17,LEFT(C34,4)+(B34-1)/(DATE(LEFT(C34,4)+1,1,1)-DATE(LEFT(C34,4),1,1)),"BAD DATE FORMAT")</f>
        <v>2018.0000019025874</v>
      </c>
      <c r="B34" s="15">
        <f>DATE(LEFT(C34,4),RIGHT(LEFT(C34,7),2),RIGHT(LEFT(C34,10),2))-DATE(LEFT(C34,4),1,1)+1+(RIGHT(LEFT(C34,14),2)*60+RIGHT(C34,2))/1440</f>
        <v>1.0006944444444446</v>
      </c>
      <c r="C34" s="3" t="s">
        <v>49</v>
      </c>
      <c r="D34" s="10"/>
      <c r="E34" s="23"/>
      <c r="F34" s="25"/>
      <c r="G34" s="25"/>
      <c r="H34" s="63"/>
      <c r="I34" s="63"/>
      <c r="J34" s="63"/>
      <c r="K34" s="19"/>
      <c r="L34" s="28"/>
      <c r="M34" s="28"/>
      <c r="N34" s="27"/>
      <c r="O34" s="27"/>
      <c r="P34" s="69"/>
      <c r="Q34" s="69"/>
      <c r="R34" s="63"/>
    </row>
    <row r="35" spans="1:18" x14ac:dyDescent="0.3">
      <c r="A35" s="22">
        <v>1000</v>
      </c>
      <c r="B35" s="2" t="s">
        <v>37</v>
      </c>
      <c r="C35" s="2" t="s">
        <v>34</v>
      </c>
      <c r="D35" s="10">
        <v>142.197</v>
      </c>
      <c r="E35" s="23">
        <f>1000/D35</f>
        <v>7.032497169419889</v>
      </c>
      <c r="F35" s="25" t="s">
        <v>43</v>
      </c>
      <c r="G35" s="25" t="s">
        <v>43</v>
      </c>
      <c r="H35" s="63">
        <f>1000/I35</f>
        <v>142.20503121400435</v>
      </c>
      <c r="I35" s="60">
        <v>7.0320999999999998</v>
      </c>
      <c r="J35" s="60">
        <v>1.67075591548251</v>
      </c>
      <c r="L35" s="28" t="s">
        <v>42</v>
      </c>
      <c r="M35" s="28" t="s">
        <v>40</v>
      </c>
      <c r="N35" s="27" t="s">
        <v>43</v>
      </c>
      <c r="O35" s="27" t="s">
        <v>43</v>
      </c>
      <c r="P35" s="69" t="s">
        <v>44</v>
      </c>
      <c r="Q35" s="69" t="s">
        <v>59</v>
      </c>
      <c r="R35" s="63" t="s">
        <v>60</v>
      </c>
    </row>
    <row r="36" spans="1:18" x14ac:dyDescent="0.3">
      <c r="A36" s="9">
        <v>2010</v>
      </c>
      <c r="B36" s="9" t="s">
        <v>38</v>
      </c>
      <c r="C36" s="9" t="s">
        <v>39</v>
      </c>
      <c r="D36" s="10">
        <v>118.85899999999999</v>
      </c>
      <c r="E36" s="23">
        <f>1000/D36</f>
        <v>8.4133300801790352</v>
      </c>
      <c r="F36" s="25" t="s">
        <v>43</v>
      </c>
      <c r="G36" s="25" t="s">
        <v>43</v>
      </c>
      <c r="H36" s="63">
        <f>1000/I36</f>
        <v>119.74040280671504</v>
      </c>
      <c r="I36" s="63">
        <v>8.3513999999999999</v>
      </c>
      <c r="J36" s="63">
        <v>1.9286659923145</v>
      </c>
      <c r="L36" s="28" t="s">
        <v>42</v>
      </c>
      <c r="M36" s="28" t="s">
        <v>40</v>
      </c>
      <c r="N36" s="27" t="s">
        <v>43</v>
      </c>
      <c r="O36" s="27" t="s">
        <v>43</v>
      </c>
      <c r="P36" s="69" t="s">
        <v>44</v>
      </c>
      <c r="Q36" s="69" t="s">
        <v>59</v>
      </c>
      <c r="R36" s="63" t="s">
        <v>69</v>
      </c>
    </row>
    <row r="37" spans="1:18" x14ac:dyDescent="0.3">
      <c r="A37" s="9">
        <v>9300</v>
      </c>
      <c r="B37" s="2" t="s">
        <v>32</v>
      </c>
      <c r="C37" s="2" t="s">
        <v>33</v>
      </c>
      <c r="D37" s="23">
        <v>1</v>
      </c>
      <c r="E37" s="23">
        <f>1000/D37</f>
        <v>1000</v>
      </c>
      <c r="F37" s="25" t="s">
        <v>43</v>
      </c>
      <c r="G37" s="25" t="s">
        <v>43</v>
      </c>
      <c r="H37" s="63">
        <v>1</v>
      </c>
      <c r="I37" s="64">
        <v>1000</v>
      </c>
      <c r="J37" s="63">
        <v>1</v>
      </c>
      <c r="L37" s="28" t="s">
        <v>42</v>
      </c>
      <c r="M37" s="28" t="s">
        <v>40</v>
      </c>
      <c r="N37" s="27" t="s">
        <v>43</v>
      </c>
      <c r="O37" s="27" t="s">
        <v>43</v>
      </c>
      <c r="P37" s="69" t="s">
        <v>44</v>
      </c>
      <c r="Q37" s="69" t="s">
        <v>45</v>
      </c>
      <c r="R37" s="63" t="s">
        <v>46</v>
      </c>
    </row>
    <row r="38" spans="1:18" s="3" customFormat="1" x14ac:dyDescent="0.3">
      <c r="A38" s="9" t="s">
        <v>2</v>
      </c>
      <c r="B38" s="9"/>
      <c r="C38" s="9"/>
      <c r="D38" s="10"/>
      <c r="E38" s="23"/>
      <c r="F38" s="25"/>
      <c r="G38" s="25"/>
      <c r="H38" s="63"/>
      <c r="I38" s="63"/>
      <c r="J38" s="63"/>
      <c r="K38" s="19"/>
      <c r="L38" s="24"/>
      <c r="M38" s="24"/>
      <c r="N38" s="25"/>
      <c r="O38" s="25"/>
      <c r="P38" s="63"/>
      <c r="Q38" s="63"/>
      <c r="R38" s="63"/>
    </row>
    <row r="39" spans="1:18" s="3" customFormat="1" x14ac:dyDescent="0.3">
      <c r="A39" s="14">
        <f>IF(LEN(C39)=17,LEFT(C39,4)+(B39-1)/(DATE(LEFT(C39,4)+1,1,1)-DATE(LEFT(C39,4),1,1)),"BAD DATE FORMAT")</f>
        <v>2019.0000019025874</v>
      </c>
      <c r="B39" s="15">
        <f>DATE(LEFT(C39,4),RIGHT(LEFT(C39,7),2),RIGHT(LEFT(C39,10),2))-DATE(LEFT(C39,4),1,1)+1+(RIGHT(LEFT(C39,14),2)*60+RIGHT(C39,2))/1440</f>
        <v>1.0006944444444446</v>
      </c>
      <c r="C39" s="3" t="s">
        <v>50</v>
      </c>
      <c r="D39" s="10"/>
      <c r="E39" s="23"/>
      <c r="F39" s="25"/>
      <c r="G39" s="25"/>
      <c r="H39" s="63"/>
      <c r="I39" s="63"/>
      <c r="J39" s="63"/>
      <c r="K39" s="19"/>
      <c r="L39" s="28"/>
      <c r="M39" s="28"/>
      <c r="N39" s="27"/>
      <c r="O39" s="27"/>
      <c r="P39" s="69"/>
      <c r="Q39" s="69"/>
      <c r="R39" s="63"/>
    </row>
    <row r="40" spans="1:18" x14ac:dyDescent="0.3">
      <c r="A40" s="22">
        <v>1000</v>
      </c>
      <c r="B40" s="2" t="s">
        <v>37</v>
      </c>
      <c r="C40" s="2" t="s">
        <v>34</v>
      </c>
      <c r="D40" s="10">
        <v>142.197</v>
      </c>
      <c r="E40" s="23">
        <f>1000/D40</f>
        <v>7.032497169419889</v>
      </c>
      <c r="F40" s="25" t="s">
        <v>43</v>
      </c>
      <c r="G40" s="25" t="s">
        <v>43</v>
      </c>
      <c r="H40" s="63">
        <f>1000/I40</f>
        <v>142.36294007943852</v>
      </c>
      <c r="I40" s="60">
        <v>7.0243000000000002</v>
      </c>
      <c r="J40" s="60">
        <v>1.67262493287749</v>
      </c>
      <c r="L40" s="28" t="s">
        <v>72</v>
      </c>
      <c r="M40" s="28" t="s">
        <v>40</v>
      </c>
      <c r="N40" s="27" t="s">
        <v>43</v>
      </c>
      <c r="O40" s="27" t="s">
        <v>43</v>
      </c>
      <c r="P40" s="69" t="s">
        <v>44</v>
      </c>
      <c r="Q40" s="69" t="s">
        <v>71</v>
      </c>
      <c r="R40" s="63" t="s">
        <v>61</v>
      </c>
    </row>
    <row r="41" spans="1:18" x14ac:dyDescent="0.3">
      <c r="A41" s="9">
        <v>2010</v>
      </c>
      <c r="B41" s="9" t="s">
        <v>38</v>
      </c>
      <c r="C41" s="9" t="s">
        <v>39</v>
      </c>
      <c r="D41" s="10">
        <v>118.85899999999999</v>
      </c>
      <c r="E41" s="23">
        <f>1000/D41</f>
        <v>8.4133300801790352</v>
      </c>
      <c r="F41" s="25" t="s">
        <v>43</v>
      </c>
      <c r="G41" s="25" t="s">
        <v>43</v>
      </c>
      <c r="H41" s="63">
        <f>1000/I41</f>
        <v>119.74040280671504</v>
      </c>
      <c r="I41" s="63">
        <v>8.3513999999999999</v>
      </c>
      <c r="J41" s="63">
        <v>1.9286659923145</v>
      </c>
      <c r="L41" s="28" t="s">
        <v>72</v>
      </c>
      <c r="M41" s="28" t="s">
        <v>40</v>
      </c>
      <c r="N41" s="27" t="s">
        <v>43</v>
      </c>
      <c r="O41" s="27" t="s">
        <v>43</v>
      </c>
      <c r="P41" s="69" t="s">
        <v>44</v>
      </c>
      <c r="Q41" s="69" t="s">
        <v>71</v>
      </c>
      <c r="R41" s="63" t="s">
        <v>70</v>
      </c>
    </row>
    <row r="42" spans="1:18" x14ac:dyDescent="0.3">
      <c r="A42" s="9">
        <v>9300</v>
      </c>
      <c r="B42" s="2" t="s">
        <v>32</v>
      </c>
      <c r="C42" s="2" t="s">
        <v>33</v>
      </c>
      <c r="D42" s="23">
        <v>1</v>
      </c>
      <c r="E42" s="23">
        <f>1000/D42</f>
        <v>1000</v>
      </c>
      <c r="F42" s="25" t="s">
        <v>43</v>
      </c>
      <c r="G42" s="25" t="s">
        <v>43</v>
      </c>
      <c r="H42" s="63">
        <v>1</v>
      </c>
      <c r="I42" s="64">
        <v>1000</v>
      </c>
      <c r="J42" s="63">
        <v>1</v>
      </c>
      <c r="L42" s="28" t="s">
        <v>72</v>
      </c>
      <c r="M42" s="28" t="s">
        <v>40</v>
      </c>
      <c r="N42" s="27" t="s">
        <v>43</v>
      </c>
      <c r="O42" s="27" t="s">
        <v>43</v>
      </c>
      <c r="P42" s="69" t="s">
        <v>44</v>
      </c>
      <c r="Q42" s="69" t="s">
        <v>45</v>
      </c>
      <c r="R42" s="63" t="s">
        <v>46</v>
      </c>
    </row>
    <row r="43" spans="1:18" s="3" customFormat="1" x14ac:dyDescent="0.3">
      <c r="A43" s="9" t="s">
        <v>2</v>
      </c>
      <c r="B43" s="9"/>
      <c r="C43" s="9"/>
      <c r="D43" s="10"/>
      <c r="E43" s="23"/>
      <c r="F43" s="25"/>
      <c r="G43" s="25"/>
      <c r="H43" s="63"/>
      <c r="I43" s="63"/>
      <c r="J43" s="63"/>
      <c r="K43" s="19"/>
      <c r="L43" s="24"/>
      <c r="M43" s="24"/>
      <c r="N43" s="25"/>
      <c r="O43" s="25"/>
      <c r="P43" s="63"/>
      <c r="Q43" s="63"/>
      <c r="R43" s="63"/>
    </row>
    <row r="44" spans="1:18" s="3" customFormat="1" x14ac:dyDescent="0.3">
      <c r="A44" s="14">
        <f>IF(LEN(C44)=17,LEFT(C44,4)+(B44-1)/(DATE(LEFT(C44,4)+1,1,1)-DATE(LEFT(C44,4),1,1)),"BAD DATE FORMAT")</f>
        <v>2020.0000018973892</v>
      </c>
      <c r="B44" s="15">
        <f>DATE(LEFT(C44,4),RIGHT(LEFT(C44,7),2),RIGHT(LEFT(C44,10),2))-DATE(LEFT(C44,4),1,1)+1+(RIGHT(LEFT(C44,14),2)*60+RIGHT(C44,2))/1440</f>
        <v>1.0006944444444446</v>
      </c>
      <c r="C44" s="33" t="s">
        <v>73</v>
      </c>
      <c r="D44" s="10"/>
      <c r="E44" s="23"/>
      <c r="F44" s="25"/>
      <c r="G44" s="25"/>
      <c r="H44" s="63"/>
      <c r="I44" s="63"/>
      <c r="J44" s="63"/>
      <c r="K44" s="19"/>
      <c r="L44" s="28"/>
      <c r="M44" s="28"/>
      <c r="N44" s="27"/>
      <c r="O44" s="27"/>
      <c r="P44" s="69"/>
      <c r="Q44" s="69"/>
      <c r="R44" s="63"/>
    </row>
    <row r="45" spans="1:18" x14ac:dyDescent="0.3">
      <c r="A45" s="22">
        <v>1000</v>
      </c>
      <c r="B45" s="2" t="s">
        <v>37</v>
      </c>
      <c r="C45" s="2" t="s">
        <v>34</v>
      </c>
      <c r="D45" s="10">
        <v>142.197</v>
      </c>
      <c r="E45" s="23">
        <f>1000/D45</f>
        <v>7.032497169419889</v>
      </c>
      <c r="F45" s="25" t="s">
        <v>74</v>
      </c>
      <c r="G45" s="25" t="s">
        <v>74</v>
      </c>
      <c r="H45" s="34">
        <f>1000/I45</f>
        <v>142.52323128669974</v>
      </c>
      <c r="I45" s="35">
        <v>7.0164</v>
      </c>
      <c r="J45" s="35">
        <v>1.67449813656697</v>
      </c>
      <c r="L45" s="28" t="s">
        <v>79</v>
      </c>
      <c r="M45" s="28" t="s">
        <v>24</v>
      </c>
      <c r="N45" s="27" t="s">
        <v>74</v>
      </c>
      <c r="O45" s="27" t="s">
        <v>74</v>
      </c>
      <c r="P45" s="69" t="s">
        <v>0</v>
      </c>
      <c r="Q45" s="69" t="s">
        <v>75</v>
      </c>
      <c r="R45" s="69" t="s">
        <v>75</v>
      </c>
    </row>
    <row r="46" spans="1:18" x14ac:dyDescent="0.3">
      <c r="A46" s="9">
        <v>2010</v>
      </c>
      <c r="B46" s="9" t="s">
        <v>38</v>
      </c>
      <c r="C46" s="9" t="s">
        <v>39</v>
      </c>
      <c r="D46" s="10">
        <v>118.85899999999999</v>
      </c>
      <c r="E46" s="23">
        <f>1000/D46</f>
        <v>8.4133300801790352</v>
      </c>
      <c r="F46" s="25" t="s">
        <v>74</v>
      </c>
      <c r="G46" s="25" t="s">
        <v>74</v>
      </c>
      <c r="H46" s="63">
        <f>1000/I46</f>
        <v>119.74040280671504</v>
      </c>
      <c r="I46" s="63">
        <v>8.3513999999999999</v>
      </c>
      <c r="J46" s="63">
        <v>1.9286659923145</v>
      </c>
      <c r="L46" s="28" t="s">
        <v>79</v>
      </c>
      <c r="M46" s="28" t="s">
        <v>24</v>
      </c>
      <c r="N46" s="27" t="s">
        <v>74</v>
      </c>
      <c r="O46" s="27" t="s">
        <v>74</v>
      </c>
      <c r="P46" s="69" t="s">
        <v>0</v>
      </c>
      <c r="Q46" s="69" t="s">
        <v>78</v>
      </c>
      <c r="R46" s="69" t="s">
        <v>78</v>
      </c>
    </row>
    <row r="47" spans="1:18" x14ac:dyDescent="0.3">
      <c r="A47" s="9">
        <v>9300</v>
      </c>
      <c r="B47" s="2" t="s">
        <v>32</v>
      </c>
      <c r="C47" s="2" t="s">
        <v>33</v>
      </c>
      <c r="D47" s="23">
        <v>1</v>
      </c>
      <c r="E47" s="23">
        <f>1000/D47</f>
        <v>1000</v>
      </c>
      <c r="F47" s="25" t="s">
        <v>74</v>
      </c>
      <c r="G47" s="25" t="s">
        <v>74</v>
      </c>
      <c r="H47" s="63">
        <v>1</v>
      </c>
      <c r="I47" s="64">
        <v>1000</v>
      </c>
      <c r="J47" s="63">
        <v>1</v>
      </c>
      <c r="L47" s="28" t="s">
        <v>79</v>
      </c>
      <c r="M47" s="28" t="s">
        <v>24</v>
      </c>
      <c r="N47" s="27" t="s">
        <v>74</v>
      </c>
      <c r="O47" s="27" t="s">
        <v>74</v>
      </c>
      <c r="P47" s="69" t="s">
        <v>0</v>
      </c>
      <c r="Q47" s="69" t="s">
        <v>45</v>
      </c>
      <c r="R47" s="63" t="s">
        <v>46</v>
      </c>
    </row>
    <row r="48" spans="1:18" x14ac:dyDescent="0.3">
      <c r="A48" s="9">
        <v>0</v>
      </c>
      <c r="B48" s="2" t="s">
        <v>76</v>
      </c>
      <c r="C48" s="2" t="s">
        <v>77</v>
      </c>
      <c r="D48" s="23" t="s">
        <v>74</v>
      </c>
      <c r="E48" s="23" t="s">
        <v>74</v>
      </c>
      <c r="F48" s="25" t="s">
        <v>74</v>
      </c>
      <c r="G48" s="25" t="s">
        <v>74</v>
      </c>
      <c r="H48" s="63" t="s">
        <v>74</v>
      </c>
      <c r="I48" s="63" t="s">
        <v>74</v>
      </c>
      <c r="J48" s="63" t="s">
        <v>74</v>
      </c>
      <c r="L48" s="23" t="s">
        <v>74</v>
      </c>
      <c r="M48" s="23" t="s">
        <v>74</v>
      </c>
      <c r="N48" s="25" t="s">
        <v>74</v>
      </c>
      <c r="O48" s="25" t="s">
        <v>74</v>
      </c>
      <c r="P48" s="63" t="s">
        <v>74</v>
      </c>
      <c r="Q48" s="63" t="s">
        <v>74</v>
      </c>
      <c r="R48" s="63" t="s">
        <v>74</v>
      </c>
    </row>
    <row r="49" spans="1:20" x14ac:dyDescent="0.3">
      <c r="A49" s="9" t="s">
        <v>2</v>
      </c>
    </row>
    <row r="50" spans="1:20" s="3" customFormat="1" x14ac:dyDescent="0.3">
      <c r="A50" s="14">
        <f>IF(LEN(C50)=17,LEFT(C50,4)+(B50-1)/(DATE(LEFT(C50,4)+1,1,1)-DATE(LEFT(C50,4),1,1)),"BAD DATE FORMAT")</f>
        <v>2020.5819691105039</v>
      </c>
      <c r="B50" s="15">
        <f>DATE(LEFT(C50,4),RIGHT(LEFT(C50,7),2),RIGHT(LEFT(C50,10),2))-DATE(LEFT(C50,4),1,1)+1+(RIGHT(LEFT(C50,14),2)*60+RIGHT(C50,2))/1440</f>
        <v>214.00069444444443</v>
      </c>
      <c r="C50" s="33" t="s">
        <v>112</v>
      </c>
      <c r="D50" s="10"/>
      <c r="E50" s="23"/>
      <c r="F50" s="25"/>
      <c r="G50" s="25"/>
      <c r="H50" s="63"/>
      <c r="I50" s="63"/>
      <c r="J50" s="63"/>
      <c r="K50" s="19"/>
      <c r="L50" s="28"/>
      <c r="M50" s="28"/>
      <c r="N50" s="27"/>
      <c r="O50" s="27"/>
      <c r="P50" s="69"/>
      <c r="Q50" s="69"/>
      <c r="R50" s="63"/>
      <c r="S50" s="3" t="s">
        <v>111</v>
      </c>
    </row>
    <row r="51" spans="1:20" s="3" customFormat="1" x14ac:dyDescent="0.3">
      <c r="A51" s="22">
        <v>1000</v>
      </c>
      <c r="B51" s="14" t="s">
        <v>37</v>
      </c>
      <c r="C51" s="2" t="s">
        <v>34</v>
      </c>
      <c r="D51" s="10">
        <v>1</v>
      </c>
      <c r="E51" s="23">
        <f>1000/D51</f>
        <v>1000</v>
      </c>
      <c r="F51" s="25" t="s">
        <v>74</v>
      </c>
      <c r="G51" s="25" t="s">
        <v>74</v>
      </c>
      <c r="H51" s="63">
        <f>1000/I51</f>
        <v>142.52323128669974</v>
      </c>
      <c r="I51" s="63">
        <v>7.0164</v>
      </c>
      <c r="J51" s="63">
        <v>1.67449813656697</v>
      </c>
      <c r="K51" s="20"/>
      <c r="L51" s="28" t="s">
        <v>98</v>
      </c>
      <c r="M51" s="28" t="s">
        <v>24</v>
      </c>
      <c r="N51" s="27" t="s">
        <v>74</v>
      </c>
      <c r="O51" s="27" t="s">
        <v>74</v>
      </c>
      <c r="P51" s="69" t="s">
        <v>0</v>
      </c>
      <c r="Q51" s="69" t="s">
        <v>75</v>
      </c>
      <c r="R51" s="69" t="s">
        <v>75</v>
      </c>
      <c r="S51" s="38"/>
    </row>
    <row r="52" spans="1:20" s="3" customFormat="1" x14ac:dyDescent="0.3">
      <c r="A52" s="22">
        <v>2010</v>
      </c>
      <c r="B52" s="9" t="s">
        <v>38</v>
      </c>
      <c r="C52" s="9" t="s">
        <v>39</v>
      </c>
      <c r="D52" s="10">
        <v>1</v>
      </c>
      <c r="E52" s="23">
        <f>1000/D52</f>
        <v>1000</v>
      </c>
      <c r="F52" s="25" t="s">
        <v>74</v>
      </c>
      <c r="G52" s="25" t="s">
        <v>74</v>
      </c>
      <c r="H52" s="63">
        <f>1000/I52</f>
        <v>119.74040280671504</v>
      </c>
      <c r="I52" s="63">
        <v>8.3513999999999999</v>
      </c>
      <c r="J52" s="63">
        <v>1.9286659923145</v>
      </c>
      <c r="K52" s="20"/>
      <c r="L52" s="28" t="s">
        <v>98</v>
      </c>
      <c r="M52" s="28" t="s">
        <v>24</v>
      </c>
      <c r="N52" s="27" t="s">
        <v>74</v>
      </c>
      <c r="O52" s="27" t="s">
        <v>74</v>
      </c>
      <c r="P52" s="69" t="s">
        <v>0</v>
      </c>
      <c r="Q52" s="69" t="s">
        <v>78</v>
      </c>
      <c r="R52" s="69" t="s">
        <v>78</v>
      </c>
      <c r="S52" s="38"/>
    </row>
    <row r="53" spans="1:20" s="3" customFormat="1" x14ac:dyDescent="0.3">
      <c r="A53" s="22">
        <v>3000</v>
      </c>
      <c r="B53" s="14" t="s">
        <v>87</v>
      </c>
      <c r="C53" s="33" t="s">
        <v>88</v>
      </c>
      <c r="D53" s="10">
        <v>1</v>
      </c>
      <c r="E53" s="23">
        <f>1000/D53</f>
        <v>1000</v>
      </c>
      <c r="F53" s="25" t="s">
        <v>74</v>
      </c>
      <c r="G53" s="25" t="s">
        <v>74</v>
      </c>
      <c r="H53" s="63">
        <f>1000/I53</f>
        <v>118.79870747006272</v>
      </c>
      <c r="I53" s="63">
        <v>8.4176000000000002</v>
      </c>
      <c r="J53" s="63">
        <v>2.2908047722416698</v>
      </c>
      <c r="K53" s="19"/>
      <c r="L53" s="28" t="s">
        <v>98</v>
      </c>
      <c r="M53" s="28" t="s">
        <v>24</v>
      </c>
      <c r="N53" s="27" t="s">
        <v>74</v>
      </c>
      <c r="O53" s="27" t="s">
        <v>74</v>
      </c>
      <c r="P53" s="69" t="s">
        <v>0</v>
      </c>
      <c r="Q53" s="69" t="s">
        <v>104</v>
      </c>
      <c r="R53" s="69" t="s">
        <v>104</v>
      </c>
      <c r="S53" s="38"/>
    </row>
    <row r="54" spans="1:20" s="3" customFormat="1" x14ac:dyDescent="0.3">
      <c r="A54" s="22">
        <v>0</v>
      </c>
      <c r="B54" s="14" t="s">
        <v>86</v>
      </c>
      <c r="C54" s="33" t="s">
        <v>83</v>
      </c>
      <c r="D54" s="10" t="s">
        <v>74</v>
      </c>
      <c r="E54" s="10" t="s">
        <v>74</v>
      </c>
      <c r="F54" s="25" t="s">
        <v>74</v>
      </c>
      <c r="G54" s="25" t="s">
        <v>74</v>
      </c>
      <c r="H54" s="63" t="s">
        <v>74</v>
      </c>
      <c r="I54" s="63" t="s">
        <v>74</v>
      </c>
      <c r="J54" s="63" t="s">
        <v>74</v>
      </c>
      <c r="K54" s="19"/>
      <c r="L54" s="28" t="s">
        <v>98</v>
      </c>
      <c r="M54" s="28" t="s">
        <v>24</v>
      </c>
      <c r="N54" s="27" t="s">
        <v>74</v>
      </c>
      <c r="O54" s="27" t="s">
        <v>74</v>
      </c>
      <c r="P54" s="63" t="s">
        <v>74</v>
      </c>
      <c r="Q54" s="63" t="s">
        <v>74</v>
      </c>
      <c r="R54" s="63" t="s">
        <v>74</v>
      </c>
      <c r="S54" s="37" t="s">
        <v>108</v>
      </c>
    </row>
    <row r="55" spans="1:20" s="3" customFormat="1" x14ac:dyDescent="0.3">
      <c r="A55" s="22">
        <v>0</v>
      </c>
      <c r="B55" s="14" t="s">
        <v>86</v>
      </c>
      <c r="C55" s="33" t="s">
        <v>84</v>
      </c>
      <c r="D55" s="10" t="s">
        <v>74</v>
      </c>
      <c r="E55" s="10" t="s">
        <v>74</v>
      </c>
      <c r="F55" s="25" t="s">
        <v>74</v>
      </c>
      <c r="G55" s="25" t="s">
        <v>74</v>
      </c>
      <c r="H55" s="63" t="s">
        <v>74</v>
      </c>
      <c r="I55" s="63" t="s">
        <v>74</v>
      </c>
      <c r="J55" s="63" t="s">
        <v>74</v>
      </c>
      <c r="K55" s="19"/>
      <c r="L55" s="28" t="s">
        <v>98</v>
      </c>
      <c r="M55" s="28" t="s">
        <v>24</v>
      </c>
      <c r="N55" s="27" t="s">
        <v>74</v>
      </c>
      <c r="O55" s="27" t="s">
        <v>74</v>
      </c>
      <c r="P55" s="63" t="s">
        <v>74</v>
      </c>
      <c r="Q55" s="63" t="s">
        <v>74</v>
      </c>
      <c r="R55" s="63" t="s">
        <v>74</v>
      </c>
      <c r="S55" s="37" t="s">
        <v>107</v>
      </c>
      <c r="T55" s="37" t="s">
        <v>109</v>
      </c>
    </row>
    <row r="56" spans="1:20" s="3" customFormat="1" x14ac:dyDescent="0.3">
      <c r="A56" s="22">
        <v>0</v>
      </c>
      <c r="B56" s="14" t="s">
        <v>86</v>
      </c>
      <c r="C56" s="33" t="s">
        <v>85</v>
      </c>
      <c r="D56" s="10" t="s">
        <v>74</v>
      </c>
      <c r="E56" s="10" t="s">
        <v>74</v>
      </c>
      <c r="F56" s="25" t="s">
        <v>74</v>
      </c>
      <c r="G56" s="25" t="s">
        <v>74</v>
      </c>
      <c r="H56" s="63" t="s">
        <v>74</v>
      </c>
      <c r="I56" s="63" t="s">
        <v>74</v>
      </c>
      <c r="J56" s="63" t="s">
        <v>74</v>
      </c>
      <c r="K56" s="19"/>
      <c r="L56" s="28" t="s">
        <v>98</v>
      </c>
      <c r="M56" s="28" t="s">
        <v>24</v>
      </c>
      <c r="N56" s="27" t="s">
        <v>74</v>
      </c>
      <c r="O56" s="27" t="s">
        <v>74</v>
      </c>
      <c r="P56" s="63" t="s">
        <v>74</v>
      </c>
      <c r="Q56" s="63" t="s">
        <v>74</v>
      </c>
      <c r="R56" s="63" t="s">
        <v>74</v>
      </c>
      <c r="S56" s="37" t="s">
        <v>107</v>
      </c>
      <c r="T56" s="37" t="s">
        <v>110</v>
      </c>
    </row>
    <row r="57" spans="1:20" s="3" customFormat="1" x14ac:dyDescent="0.3">
      <c r="A57" s="14" t="s">
        <v>80</v>
      </c>
      <c r="B57" s="14" t="s">
        <v>92</v>
      </c>
      <c r="C57" s="2" t="s">
        <v>93</v>
      </c>
      <c r="D57" s="10">
        <v>1</v>
      </c>
      <c r="E57" s="23">
        <f t="shared" ref="E57:E59" si="0">1000/D57</f>
        <v>1000</v>
      </c>
      <c r="F57" s="25" t="s">
        <v>74</v>
      </c>
      <c r="G57" s="25" t="s">
        <v>74</v>
      </c>
      <c r="H57" s="63">
        <f>1000/I57</f>
        <v>142.52323128669974</v>
      </c>
      <c r="I57" s="63">
        <v>7.0164</v>
      </c>
      <c r="J57" s="63">
        <v>1.67449813656697</v>
      </c>
      <c r="K57" s="19"/>
      <c r="L57" s="28" t="s">
        <v>98</v>
      </c>
      <c r="M57" s="28" t="s">
        <v>24</v>
      </c>
      <c r="N57" s="27" t="s">
        <v>74</v>
      </c>
      <c r="O57" s="27" t="s">
        <v>74</v>
      </c>
      <c r="P57" s="69" t="s">
        <v>0</v>
      </c>
      <c r="Q57" s="69" t="s">
        <v>75</v>
      </c>
      <c r="R57" s="69" t="s">
        <v>75</v>
      </c>
    </row>
    <row r="58" spans="1:20" s="3" customFormat="1" x14ac:dyDescent="0.3">
      <c r="A58" s="14" t="s">
        <v>81</v>
      </c>
      <c r="B58" s="9" t="s">
        <v>94</v>
      </c>
      <c r="C58" s="9" t="s">
        <v>96</v>
      </c>
      <c r="D58" s="10">
        <v>1</v>
      </c>
      <c r="E58" s="23">
        <f t="shared" si="0"/>
        <v>1000</v>
      </c>
      <c r="F58" s="25" t="s">
        <v>74</v>
      </c>
      <c r="G58" s="25" t="s">
        <v>74</v>
      </c>
      <c r="H58" s="63">
        <f>1000/I58</f>
        <v>119.74040280671504</v>
      </c>
      <c r="I58" s="63">
        <v>8.3513999999999999</v>
      </c>
      <c r="J58" s="63">
        <v>1.9286659923145</v>
      </c>
      <c r="K58" s="19"/>
      <c r="L58" s="28" t="s">
        <v>98</v>
      </c>
      <c r="M58" s="28" t="s">
        <v>24</v>
      </c>
      <c r="N58" s="27" t="s">
        <v>74</v>
      </c>
      <c r="O58" s="27" t="s">
        <v>74</v>
      </c>
      <c r="P58" s="69" t="s">
        <v>0</v>
      </c>
      <c r="Q58" s="69" t="s">
        <v>78</v>
      </c>
      <c r="R58" s="69" t="s">
        <v>78</v>
      </c>
    </row>
    <row r="59" spans="1:20" s="3" customFormat="1" x14ac:dyDescent="0.3">
      <c r="A59" s="14" t="s">
        <v>82</v>
      </c>
      <c r="B59" s="14" t="s">
        <v>95</v>
      </c>
      <c r="C59" s="33" t="s">
        <v>97</v>
      </c>
      <c r="D59" s="10">
        <v>1</v>
      </c>
      <c r="E59" s="23">
        <f t="shared" si="0"/>
        <v>1000</v>
      </c>
      <c r="F59" s="25" t="s">
        <v>74</v>
      </c>
      <c r="G59" s="25" t="s">
        <v>74</v>
      </c>
      <c r="H59" s="63">
        <f>1000/I59</f>
        <v>118.79870747006272</v>
      </c>
      <c r="I59" s="63">
        <v>8.4176000000000002</v>
      </c>
      <c r="J59" s="63">
        <v>2.2908047722416698</v>
      </c>
      <c r="K59" s="19"/>
      <c r="L59" s="28" t="s">
        <v>98</v>
      </c>
      <c r="M59" s="28" t="s">
        <v>24</v>
      </c>
      <c r="N59" s="27" t="s">
        <v>74</v>
      </c>
      <c r="O59" s="27" t="s">
        <v>74</v>
      </c>
      <c r="P59" s="69" t="s">
        <v>0</v>
      </c>
      <c r="Q59" s="69" t="s">
        <v>104</v>
      </c>
      <c r="R59" s="69" t="s">
        <v>104</v>
      </c>
    </row>
    <row r="60" spans="1:20" s="3" customFormat="1" x14ac:dyDescent="0.3">
      <c r="A60" s="9">
        <v>7009</v>
      </c>
      <c r="B60" s="36" t="s">
        <v>100</v>
      </c>
      <c r="C60" s="36" t="s">
        <v>89</v>
      </c>
      <c r="D60" s="10">
        <v>1</v>
      </c>
      <c r="E60" s="23">
        <v>1000</v>
      </c>
      <c r="F60" s="25" t="s">
        <v>74</v>
      </c>
      <c r="G60" s="25" t="s">
        <v>74</v>
      </c>
      <c r="H60" s="63">
        <v>1</v>
      </c>
      <c r="I60" s="63">
        <v>1000</v>
      </c>
      <c r="J60" s="63">
        <v>5</v>
      </c>
      <c r="K60" s="19"/>
      <c r="L60" s="28" t="s">
        <v>98</v>
      </c>
      <c r="M60" s="28" t="s">
        <v>24</v>
      </c>
      <c r="N60" s="27" t="s">
        <v>74</v>
      </c>
      <c r="O60" s="27" t="s">
        <v>74</v>
      </c>
      <c r="P60" s="69" t="s">
        <v>105</v>
      </c>
      <c r="Q60" s="69" t="s">
        <v>105</v>
      </c>
      <c r="R60" s="63" t="s">
        <v>46</v>
      </c>
      <c r="S60" s="3" t="s">
        <v>106</v>
      </c>
    </row>
    <row r="61" spans="1:20" s="3" customFormat="1" x14ac:dyDescent="0.3">
      <c r="A61" s="9">
        <v>7008</v>
      </c>
      <c r="B61" s="36" t="s">
        <v>101</v>
      </c>
      <c r="C61" s="36" t="s">
        <v>99</v>
      </c>
      <c r="D61" s="10">
        <v>1</v>
      </c>
      <c r="E61" s="23">
        <v>1000</v>
      </c>
      <c r="F61" s="25" t="s">
        <v>74</v>
      </c>
      <c r="G61" s="25" t="s">
        <v>74</v>
      </c>
      <c r="H61" s="63">
        <v>1</v>
      </c>
      <c r="I61" s="63">
        <v>1000</v>
      </c>
      <c r="J61" s="63">
        <v>5</v>
      </c>
      <c r="K61" s="19"/>
      <c r="L61" s="28" t="s">
        <v>98</v>
      </c>
      <c r="M61" s="28" t="s">
        <v>24</v>
      </c>
      <c r="N61" s="27" t="s">
        <v>74</v>
      </c>
      <c r="O61" s="27" t="s">
        <v>74</v>
      </c>
      <c r="P61" s="69" t="s">
        <v>105</v>
      </c>
      <c r="Q61" s="69" t="s">
        <v>105</v>
      </c>
      <c r="R61" s="63" t="s">
        <v>46</v>
      </c>
    </row>
    <row r="62" spans="1:20" s="3" customFormat="1" x14ac:dyDescent="0.3">
      <c r="A62" s="9">
        <v>9388</v>
      </c>
      <c r="B62" s="36" t="s">
        <v>102</v>
      </c>
      <c r="C62" s="36" t="s">
        <v>90</v>
      </c>
      <c r="D62" s="10">
        <v>1</v>
      </c>
      <c r="E62" s="23">
        <v>1000</v>
      </c>
      <c r="F62" s="25" t="s">
        <v>74</v>
      </c>
      <c r="G62" s="25" t="s">
        <v>74</v>
      </c>
      <c r="H62" s="63">
        <v>1</v>
      </c>
      <c r="I62" s="63">
        <v>1000</v>
      </c>
      <c r="J62" s="63">
        <v>1</v>
      </c>
      <c r="K62" s="19"/>
      <c r="L62" s="28" t="s">
        <v>98</v>
      </c>
      <c r="M62" s="28" t="s">
        <v>24</v>
      </c>
      <c r="N62" s="27" t="s">
        <v>74</v>
      </c>
      <c r="O62" s="27" t="s">
        <v>74</v>
      </c>
      <c r="P62" s="69" t="s">
        <v>105</v>
      </c>
      <c r="Q62" s="69" t="s">
        <v>105</v>
      </c>
      <c r="R62" s="63" t="s">
        <v>46</v>
      </c>
    </row>
    <row r="63" spans="1:20" s="3" customFormat="1" x14ac:dyDescent="0.3">
      <c r="A63" s="9">
        <v>9389</v>
      </c>
      <c r="B63" s="36" t="s">
        <v>103</v>
      </c>
      <c r="C63" s="36" t="s">
        <v>91</v>
      </c>
      <c r="D63" s="10">
        <v>1</v>
      </c>
      <c r="E63" s="23">
        <v>1000</v>
      </c>
      <c r="F63" s="25" t="s">
        <v>74</v>
      </c>
      <c r="G63" s="25" t="s">
        <v>74</v>
      </c>
      <c r="H63" s="63">
        <v>1</v>
      </c>
      <c r="I63" s="63">
        <v>1000</v>
      </c>
      <c r="J63" s="63">
        <v>1</v>
      </c>
      <c r="K63" s="19"/>
      <c r="L63" s="28" t="s">
        <v>98</v>
      </c>
      <c r="M63" s="28" t="s">
        <v>24</v>
      </c>
      <c r="N63" s="27" t="s">
        <v>74</v>
      </c>
      <c r="O63" s="27" t="s">
        <v>74</v>
      </c>
      <c r="P63" s="69" t="s">
        <v>105</v>
      </c>
      <c r="Q63" s="69" t="s">
        <v>105</v>
      </c>
      <c r="R63" s="63" t="s">
        <v>46</v>
      </c>
    </row>
    <row r="64" spans="1:20" x14ac:dyDescent="0.3">
      <c r="A64" s="9">
        <v>9300</v>
      </c>
      <c r="B64" s="2" t="s">
        <v>32</v>
      </c>
      <c r="C64" s="2" t="s">
        <v>33</v>
      </c>
      <c r="D64" s="23">
        <v>1</v>
      </c>
      <c r="E64" s="23">
        <f>1000/D64</f>
        <v>1000</v>
      </c>
      <c r="F64" s="25" t="s">
        <v>74</v>
      </c>
      <c r="G64" s="25" t="s">
        <v>74</v>
      </c>
      <c r="H64" s="63">
        <v>1</v>
      </c>
      <c r="I64" s="64">
        <v>1000</v>
      </c>
      <c r="J64" s="63">
        <v>1</v>
      </c>
      <c r="L64" s="28" t="s">
        <v>98</v>
      </c>
      <c r="M64" s="28" t="s">
        <v>24</v>
      </c>
      <c r="N64" s="27" t="s">
        <v>74</v>
      </c>
      <c r="O64" s="27" t="s">
        <v>74</v>
      </c>
      <c r="P64" s="69" t="s">
        <v>0</v>
      </c>
      <c r="Q64" s="69" t="s">
        <v>45</v>
      </c>
      <c r="R64" s="63" t="s">
        <v>46</v>
      </c>
    </row>
    <row r="65" spans="1:20" x14ac:dyDescent="0.3">
      <c r="A65" s="9">
        <v>0</v>
      </c>
      <c r="B65" s="2" t="s">
        <v>76</v>
      </c>
      <c r="C65" s="2" t="s">
        <v>77</v>
      </c>
      <c r="D65" s="23" t="s">
        <v>74</v>
      </c>
      <c r="E65" s="23" t="s">
        <v>74</v>
      </c>
      <c r="F65" s="25" t="s">
        <v>74</v>
      </c>
      <c r="G65" s="25" t="s">
        <v>74</v>
      </c>
      <c r="H65" s="63" t="s">
        <v>74</v>
      </c>
      <c r="I65" s="63" t="s">
        <v>74</v>
      </c>
      <c r="J65" s="63" t="s">
        <v>74</v>
      </c>
      <c r="L65" s="28" t="s">
        <v>98</v>
      </c>
      <c r="M65" s="28" t="s">
        <v>24</v>
      </c>
      <c r="N65" s="25" t="s">
        <v>74</v>
      </c>
      <c r="O65" s="25" t="s">
        <v>74</v>
      </c>
      <c r="P65" s="63" t="s">
        <v>74</v>
      </c>
      <c r="Q65" s="63" t="s">
        <v>74</v>
      </c>
      <c r="R65" s="63" t="s">
        <v>74</v>
      </c>
    </row>
    <row r="66" spans="1:20" x14ac:dyDescent="0.3">
      <c r="A66" s="9" t="s">
        <v>2</v>
      </c>
    </row>
    <row r="67" spans="1:20" s="3" customFormat="1" x14ac:dyDescent="0.3">
      <c r="A67" s="14">
        <f>IF(LEN(C67)=17,LEFT(C67,4)+(B67-1)/(DATE(LEFT(C67,4)+1,1,1)-DATE(LEFT(C67,4),1,1)),"BAD DATE FORMAT")</f>
        <v>2021.0000019025874</v>
      </c>
      <c r="B67" s="15">
        <f>DATE(LEFT(C67,4),RIGHT(LEFT(C67,7),2),RIGHT(LEFT(C67,10),2))-DATE(LEFT(C67,4),1,1)+1+(RIGHT(LEFT(C67,14),2)*60+RIGHT(C67,2))/1440</f>
        <v>1.0006944444444446</v>
      </c>
      <c r="C67" s="33" t="s">
        <v>113</v>
      </c>
      <c r="D67" s="10"/>
      <c r="E67" s="23"/>
      <c r="F67" s="25"/>
      <c r="G67" s="25"/>
      <c r="H67" s="63"/>
      <c r="I67" s="63"/>
      <c r="J67" s="63"/>
      <c r="K67" s="19"/>
      <c r="L67" s="28"/>
      <c r="M67" s="28"/>
      <c r="N67" s="27"/>
      <c r="O67" s="27"/>
      <c r="P67" s="69"/>
      <c r="Q67" s="69"/>
      <c r="R67" s="63"/>
      <c r="S67" s="3" t="s">
        <v>111</v>
      </c>
    </row>
    <row r="68" spans="1:20" s="3" customFormat="1" x14ac:dyDescent="0.3">
      <c r="A68" s="22">
        <v>1000</v>
      </c>
      <c r="B68" s="14" t="s">
        <v>37</v>
      </c>
      <c r="C68" s="2" t="s">
        <v>123</v>
      </c>
      <c r="D68" s="10">
        <v>1</v>
      </c>
      <c r="E68" s="23">
        <f>1000/D68</f>
        <v>1000</v>
      </c>
      <c r="F68" s="25" t="s">
        <v>74</v>
      </c>
      <c r="G68" s="25" t="s">
        <v>74</v>
      </c>
      <c r="H68" s="63">
        <f>1000/I68</f>
        <v>142.90613924774209</v>
      </c>
      <c r="I68" s="33">
        <v>6.9976000000000003</v>
      </c>
      <c r="J68" s="33">
        <v>1.80205774681044</v>
      </c>
      <c r="K68" s="20"/>
      <c r="L68" s="28" t="s">
        <v>98</v>
      </c>
      <c r="M68" s="28" t="s">
        <v>24</v>
      </c>
      <c r="N68" s="27" t="s">
        <v>74</v>
      </c>
      <c r="O68" s="27" t="s">
        <v>74</v>
      </c>
      <c r="P68" s="69" t="s">
        <v>0</v>
      </c>
      <c r="Q68" s="69" t="s">
        <v>116</v>
      </c>
      <c r="R68" s="69" t="s">
        <v>116</v>
      </c>
      <c r="S68" s="38"/>
    </row>
    <row r="69" spans="1:20" s="3" customFormat="1" x14ac:dyDescent="0.3">
      <c r="A69" s="22">
        <v>2010</v>
      </c>
      <c r="B69" s="9" t="s">
        <v>38</v>
      </c>
      <c r="C69" s="9" t="s">
        <v>124</v>
      </c>
      <c r="D69" s="10">
        <v>1</v>
      </c>
      <c r="E69" s="23">
        <f>1000/D69</f>
        <v>1000</v>
      </c>
      <c r="F69" s="25" t="s">
        <v>74</v>
      </c>
      <c r="G69" s="25" t="s">
        <v>74</v>
      </c>
      <c r="H69" s="63">
        <f>1000/I69</f>
        <v>119.39443144371747</v>
      </c>
      <c r="I69" s="33">
        <v>8.3756000000000004</v>
      </c>
      <c r="J69" s="33">
        <v>2.03531169831321</v>
      </c>
      <c r="K69" s="20"/>
      <c r="L69" s="28" t="s">
        <v>98</v>
      </c>
      <c r="M69" s="28" t="s">
        <v>24</v>
      </c>
      <c r="N69" s="27" t="s">
        <v>74</v>
      </c>
      <c r="O69" s="27" t="s">
        <v>74</v>
      </c>
      <c r="P69" s="69" t="s">
        <v>0</v>
      </c>
      <c r="Q69" s="69" t="s">
        <v>114</v>
      </c>
      <c r="R69" s="69" t="s">
        <v>114</v>
      </c>
      <c r="S69" s="38"/>
    </row>
    <row r="70" spans="1:20" s="3" customFormat="1" x14ac:dyDescent="0.3">
      <c r="A70" s="22">
        <v>3000</v>
      </c>
      <c r="B70" s="14" t="s">
        <v>87</v>
      </c>
      <c r="C70" s="33" t="s">
        <v>125</v>
      </c>
      <c r="D70" s="10">
        <v>1</v>
      </c>
      <c r="E70" s="23">
        <f>1000/D70</f>
        <v>1000</v>
      </c>
      <c r="F70" s="25" t="s">
        <v>74</v>
      </c>
      <c r="G70" s="25" t="s">
        <v>74</v>
      </c>
      <c r="H70" s="63">
        <f>1000/I70</f>
        <v>118.49745230477545</v>
      </c>
      <c r="I70" s="33">
        <v>8.4390000000000001</v>
      </c>
      <c r="J70" s="33">
        <v>2.20773173146471</v>
      </c>
      <c r="K70" s="19"/>
      <c r="L70" s="28" t="s">
        <v>98</v>
      </c>
      <c r="M70" s="28" t="s">
        <v>24</v>
      </c>
      <c r="N70" s="27" t="s">
        <v>74</v>
      </c>
      <c r="O70" s="27" t="s">
        <v>74</v>
      </c>
      <c r="P70" s="69" t="s">
        <v>0</v>
      </c>
      <c r="Q70" s="69" t="s">
        <v>115</v>
      </c>
      <c r="R70" s="69" t="s">
        <v>115</v>
      </c>
      <c r="S70" s="38"/>
    </row>
    <row r="71" spans="1:20" s="3" customFormat="1" x14ac:dyDescent="0.3">
      <c r="A71" s="22">
        <v>0</v>
      </c>
      <c r="B71" s="14" t="s">
        <v>86</v>
      </c>
      <c r="C71" s="33" t="s">
        <v>83</v>
      </c>
      <c r="D71" s="10" t="s">
        <v>74</v>
      </c>
      <c r="E71" s="10" t="s">
        <v>74</v>
      </c>
      <c r="F71" s="25" t="s">
        <v>74</v>
      </c>
      <c r="G71" s="25" t="s">
        <v>74</v>
      </c>
      <c r="H71" s="63" t="s">
        <v>74</v>
      </c>
      <c r="I71" s="63" t="s">
        <v>74</v>
      </c>
      <c r="J71" s="63" t="s">
        <v>74</v>
      </c>
      <c r="K71" s="19"/>
      <c r="L71" s="28" t="s">
        <v>98</v>
      </c>
      <c r="M71" s="28" t="s">
        <v>24</v>
      </c>
      <c r="N71" s="27" t="s">
        <v>74</v>
      </c>
      <c r="O71" s="27" t="s">
        <v>74</v>
      </c>
      <c r="P71" s="63" t="s">
        <v>74</v>
      </c>
      <c r="Q71" s="63" t="s">
        <v>74</v>
      </c>
      <c r="R71" s="63" t="s">
        <v>74</v>
      </c>
      <c r="S71" s="37" t="s">
        <v>108</v>
      </c>
    </row>
    <row r="72" spans="1:20" s="3" customFormat="1" x14ac:dyDescent="0.3">
      <c r="A72" s="22">
        <v>0</v>
      </c>
      <c r="B72" s="14" t="s">
        <v>86</v>
      </c>
      <c r="C72" s="33" t="s">
        <v>84</v>
      </c>
      <c r="D72" s="10" t="s">
        <v>74</v>
      </c>
      <c r="E72" s="10" t="s">
        <v>74</v>
      </c>
      <c r="F72" s="25" t="s">
        <v>74</v>
      </c>
      <c r="G72" s="25" t="s">
        <v>74</v>
      </c>
      <c r="H72" s="63" t="s">
        <v>74</v>
      </c>
      <c r="I72" s="63" t="s">
        <v>74</v>
      </c>
      <c r="J72" s="63" t="s">
        <v>74</v>
      </c>
      <c r="K72" s="19"/>
      <c r="L72" s="28" t="s">
        <v>98</v>
      </c>
      <c r="M72" s="28" t="s">
        <v>24</v>
      </c>
      <c r="N72" s="27" t="s">
        <v>74</v>
      </c>
      <c r="O72" s="27" t="s">
        <v>74</v>
      </c>
      <c r="P72" s="63" t="s">
        <v>74</v>
      </c>
      <c r="Q72" s="63" t="s">
        <v>74</v>
      </c>
      <c r="R72" s="63" t="s">
        <v>74</v>
      </c>
      <c r="S72" s="37" t="s">
        <v>107</v>
      </c>
      <c r="T72" s="37" t="s">
        <v>109</v>
      </c>
    </row>
    <row r="73" spans="1:20" s="3" customFormat="1" x14ac:dyDescent="0.3">
      <c r="A73" s="22">
        <v>0</v>
      </c>
      <c r="B73" s="14" t="s">
        <v>86</v>
      </c>
      <c r="C73" s="33" t="s">
        <v>85</v>
      </c>
      <c r="D73" s="10" t="s">
        <v>74</v>
      </c>
      <c r="E73" s="10" t="s">
        <v>74</v>
      </c>
      <c r="F73" s="25" t="s">
        <v>74</v>
      </c>
      <c r="G73" s="25" t="s">
        <v>74</v>
      </c>
      <c r="H73" s="63" t="s">
        <v>74</v>
      </c>
      <c r="I73" s="63" t="s">
        <v>74</v>
      </c>
      <c r="J73" s="63" t="s">
        <v>74</v>
      </c>
      <c r="K73" s="19"/>
      <c r="L73" s="28" t="s">
        <v>98</v>
      </c>
      <c r="M73" s="28" t="s">
        <v>24</v>
      </c>
      <c r="N73" s="27" t="s">
        <v>74</v>
      </c>
      <c r="O73" s="27" t="s">
        <v>74</v>
      </c>
      <c r="P73" s="63" t="s">
        <v>74</v>
      </c>
      <c r="Q73" s="63" t="s">
        <v>74</v>
      </c>
      <c r="R73" s="63" t="s">
        <v>74</v>
      </c>
      <c r="S73" s="37" t="s">
        <v>107</v>
      </c>
      <c r="T73" s="37" t="s">
        <v>110</v>
      </c>
    </row>
    <row r="74" spans="1:20" s="3" customFormat="1" x14ac:dyDescent="0.3">
      <c r="A74" s="14" t="s">
        <v>80</v>
      </c>
      <c r="B74" s="14" t="s">
        <v>92</v>
      </c>
      <c r="C74" s="2" t="s">
        <v>126</v>
      </c>
      <c r="D74" s="10">
        <v>1</v>
      </c>
      <c r="E74" s="23">
        <f t="shared" ref="E74:E76" si="1">1000/D74</f>
        <v>1000</v>
      </c>
      <c r="F74" s="25" t="s">
        <v>74</v>
      </c>
      <c r="G74" s="25" t="s">
        <v>74</v>
      </c>
      <c r="H74" s="63">
        <f>1000/I74</f>
        <v>142.90613924774209</v>
      </c>
      <c r="I74" s="33">
        <v>6.9976000000000003</v>
      </c>
      <c r="J74" s="33">
        <v>1.80205774681044</v>
      </c>
      <c r="K74" s="19"/>
      <c r="L74" s="28" t="s">
        <v>98</v>
      </c>
      <c r="M74" s="28" t="s">
        <v>24</v>
      </c>
      <c r="N74" s="27" t="s">
        <v>74</v>
      </c>
      <c r="O74" s="27" t="s">
        <v>74</v>
      </c>
      <c r="P74" s="69" t="s">
        <v>0</v>
      </c>
      <c r="Q74" s="69" t="s">
        <v>116</v>
      </c>
      <c r="R74" s="69" t="s">
        <v>116</v>
      </c>
    </row>
    <row r="75" spans="1:20" s="3" customFormat="1" x14ac:dyDescent="0.3">
      <c r="A75" s="14" t="s">
        <v>81</v>
      </c>
      <c r="B75" s="9" t="s">
        <v>94</v>
      </c>
      <c r="C75" s="9" t="s">
        <v>127</v>
      </c>
      <c r="D75" s="10">
        <v>1</v>
      </c>
      <c r="E75" s="23">
        <f t="shared" si="1"/>
        <v>1000</v>
      </c>
      <c r="F75" s="25" t="s">
        <v>74</v>
      </c>
      <c r="G75" s="25" t="s">
        <v>74</v>
      </c>
      <c r="H75" s="63">
        <f>1000/I75</f>
        <v>119.39443144371747</v>
      </c>
      <c r="I75" s="33">
        <v>8.3756000000000004</v>
      </c>
      <c r="J75" s="33">
        <v>2.03531169831321</v>
      </c>
      <c r="K75" s="19"/>
      <c r="L75" s="28" t="s">
        <v>98</v>
      </c>
      <c r="M75" s="28" t="s">
        <v>24</v>
      </c>
      <c r="N75" s="27" t="s">
        <v>74</v>
      </c>
      <c r="O75" s="27" t="s">
        <v>74</v>
      </c>
      <c r="P75" s="69" t="s">
        <v>0</v>
      </c>
      <c r="Q75" s="69" t="s">
        <v>114</v>
      </c>
      <c r="R75" s="69" t="s">
        <v>114</v>
      </c>
    </row>
    <row r="76" spans="1:20" s="3" customFormat="1" x14ac:dyDescent="0.3">
      <c r="A76" s="14" t="s">
        <v>82</v>
      </c>
      <c r="B76" s="14" t="s">
        <v>95</v>
      </c>
      <c r="C76" s="33" t="s">
        <v>128</v>
      </c>
      <c r="D76" s="10">
        <v>1</v>
      </c>
      <c r="E76" s="23">
        <f t="shared" si="1"/>
        <v>1000</v>
      </c>
      <c r="F76" s="25" t="s">
        <v>74</v>
      </c>
      <c r="G76" s="25" t="s">
        <v>74</v>
      </c>
      <c r="H76" s="63">
        <f>1000/I76</f>
        <v>118.49745230477545</v>
      </c>
      <c r="I76" s="33">
        <v>8.4390000000000001</v>
      </c>
      <c r="J76" s="33">
        <v>2.20773173146471</v>
      </c>
      <c r="K76" s="19"/>
      <c r="L76" s="28" t="s">
        <v>98</v>
      </c>
      <c r="M76" s="28" t="s">
        <v>24</v>
      </c>
      <c r="N76" s="27" t="s">
        <v>74</v>
      </c>
      <c r="O76" s="27" t="s">
        <v>74</v>
      </c>
      <c r="P76" s="69" t="s">
        <v>0</v>
      </c>
      <c r="Q76" s="69" t="s">
        <v>115</v>
      </c>
      <c r="R76" s="69" t="s">
        <v>115</v>
      </c>
    </row>
    <row r="77" spans="1:20" s="3" customFormat="1" x14ac:dyDescent="0.3">
      <c r="A77" s="9">
        <v>7009</v>
      </c>
      <c r="B77" s="9" t="s">
        <v>100</v>
      </c>
      <c r="C77" s="36" t="s">
        <v>89</v>
      </c>
      <c r="D77" s="10">
        <v>1</v>
      </c>
      <c r="E77" s="23">
        <v>1000</v>
      </c>
      <c r="F77" s="25" t="s">
        <v>74</v>
      </c>
      <c r="G77" s="25" t="s">
        <v>74</v>
      </c>
      <c r="H77" s="63">
        <v>1</v>
      </c>
      <c r="I77" s="63">
        <v>1000</v>
      </c>
      <c r="J77" s="63">
        <v>5</v>
      </c>
      <c r="K77" s="19"/>
      <c r="L77" s="28" t="s">
        <v>98</v>
      </c>
      <c r="M77" s="28" t="s">
        <v>24</v>
      </c>
      <c r="N77" s="27" t="s">
        <v>74</v>
      </c>
      <c r="O77" s="27" t="s">
        <v>74</v>
      </c>
      <c r="P77" s="69" t="s">
        <v>105</v>
      </c>
      <c r="Q77" s="69" t="s">
        <v>105</v>
      </c>
      <c r="R77" s="63" t="s">
        <v>46</v>
      </c>
      <c r="S77" s="3" t="s">
        <v>106</v>
      </c>
    </row>
    <row r="78" spans="1:20" s="3" customFormat="1" x14ac:dyDescent="0.3">
      <c r="A78" s="9">
        <v>7008</v>
      </c>
      <c r="B78" s="9" t="s">
        <v>101</v>
      </c>
      <c r="C78" s="36" t="s">
        <v>99</v>
      </c>
      <c r="D78" s="10">
        <v>1</v>
      </c>
      <c r="E78" s="23">
        <v>1000</v>
      </c>
      <c r="F78" s="25" t="s">
        <v>74</v>
      </c>
      <c r="G78" s="25" t="s">
        <v>74</v>
      </c>
      <c r="H78" s="63">
        <v>1</v>
      </c>
      <c r="I78" s="63">
        <v>1000</v>
      </c>
      <c r="J78" s="63">
        <v>5</v>
      </c>
      <c r="K78" s="19"/>
      <c r="L78" s="28" t="s">
        <v>98</v>
      </c>
      <c r="M78" s="28" t="s">
        <v>24</v>
      </c>
      <c r="N78" s="27" t="s">
        <v>74</v>
      </c>
      <c r="O78" s="27" t="s">
        <v>74</v>
      </c>
      <c r="P78" s="69" t="s">
        <v>105</v>
      </c>
      <c r="Q78" s="69" t="s">
        <v>105</v>
      </c>
      <c r="R78" s="63" t="s">
        <v>46</v>
      </c>
    </row>
    <row r="79" spans="1:20" s="3" customFormat="1" x14ac:dyDescent="0.3">
      <c r="A79" s="9">
        <v>9388</v>
      </c>
      <c r="B79" s="9" t="s">
        <v>102</v>
      </c>
      <c r="C79" s="36" t="s">
        <v>90</v>
      </c>
      <c r="D79" s="10">
        <v>1</v>
      </c>
      <c r="E79" s="23">
        <v>1000</v>
      </c>
      <c r="F79" s="25" t="s">
        <v>74</v>
      </c>
      <c r="G79" s="25" t="s">
        <v>74</v>
      </c>
      <c r="H79" s="63">
        <v>1</v>
      </c>
      <c r="I79" s="63">
        <v>1000</v>
      </c>
      <c r="J79" s="63">
        <v>1</v>
      </c>
      <c r="K79" s="19"/>
      <c r="L79" s="28" t="s">
        <v>98</v>
      </c>
      <c r="M79" s="28" t="s">
        <v>24</v>
      </c>
      <c r="N79" s="27" t="s">
        <v>74</v>
      </c>
      <c r="O79" s="27" t="s">
        <v>74</v>
      </c>
      <c r="P79" s="69" t="s">
        <v>105</v>
      </c>
      <c r="Q79" s="69" t="s">
        <v>105</v>
      </c>
      <c r="R79" s="63" t="s">
        <v>46</v>
      </c>
    </row>
    <row r="80" spans="1:20" s="3" customFormat="1" x14ac:dyDescent="0.3">
      <c r="A80" s="9">
        <v>9389</v>
      </c>
      <c r="B80" s="9" t="s">
        <v>103</v>
      </c>
      <c r="C80" s="36" t="s">
        <v>91</v>
      </c>
      <c r="D80" s="10">
        <v>1</v>
      </c>
      <c r="E80" s="23">
        <v>1000</v>
      </c>
      <c r="F80" s="25" t="s">
        <v>74</v>
      </c>
      <c r="G80" s="25" t="s">
        <v>74</v>
      </c>
      <c r="H80" s="63">
        <v>1</v>
      </c>
      <c r="I80" s="63">
        <v>1000</v>
      </c>
      <c r="J80" s="63">
        <v>1</v>
      </c>
      <c r="K80" s="19"/>
      <c r="L80" s="28" t="s">
        <v>98</v>
      </c>
      <c r="M80" s="28" t="s">
        <v>24</v>
      </c>
      <c r="N80" s="27" t="s">
        <v>74</v>
      </c>
      <c r="O80" s="27" t="s">
        <v>74</v>
      </c>
      <c r="P80" s="69" t="s">
        <v>105</v>
      </c>
      <c r="Q80" s="69" t="s">
        <v>105</v>
      </c>
      <c r="R80" s="63" t="s">
        <v>46</v>
      </c>
    </row>
    <row r="81" spans="1:19" x14ac:dyDescent="0.3">
      <c r="A81" s="9">
        <v>9300</v>
      </c>
      <c r="B81" s="2" t="s">
        <v>32</v>
      </c>
      <c r="C81" s="2" t="s">
        <v>129</v>
      </c>
      <c r="D81" s="23">
        <v>1</v>
      </c>
      <c r="E81" s="23">
        <f>1000/D81</f>
        <v>1000</v>
      </c>
      <c r="F81" s="25" t="s">
        <v>74</v>
      </c>
      <c r="G81" s="25" t="s">
        <v>74</v>
      </c>
      <c r="H81" s="63">
        <v>1</v>
      </c>
      <c r="I81" s="64">
        <v>1000</v>
      </c>
      <c r="J81" s="63">
        <v>1</v>
      </c>
      <c r="L81" s="28" t="s">
        <v>98</v>
      </c>
      <c r="M81" s="28" t="s">
        <v>24</v>
      </c>
      <c r="N81" s="27" t="s">
        <v>74</v>
      </c>
      <c r="O81" s="27" t="s">
        <v>74</v>
      </c>
      <c r="P81" s="69" t="s">
        <v>0</v>
      </c>
      <c r="Q81" s="69" t="s">
        <v>45</v>
      </c>
      <c r="R81" s="63" t="s">
        <v>46</v>
      </c>
    </row>
    <row r="82" spans="1:19" x14ac:dyDescent="0.3">
      <c r="A82" s="9">
        <v>0</v>
      </c>
      <c r="B82" s="2" t="s">
        <v>76</v>
      </c>
      <c r="C82" s="2" t="s">
        <v>77</v>
      </c>
      <c r="D82" s="23" t="s">
        <v>74</v>
      </c>
      <c r="E82" s="23" t="s">
        <v>74</v>
      </c>
      <c r="F82" s="25" t="s">
        <v>74</v>
      </c>
      <c r="G82" s="25" t="s">
        <v>74</v>
      </c>
      <c r="H82" s="63" t="s">
        <v>74</v>
      </c>
      <c r="I82" s="63" t="s">
        <v>74</v>
      </c>
      <c r="J82" s="63" t="s">
        <v>74</v>
      </c>
      <c r="L82" s="28" t="s">
        <v>98</v>
      </c>
      <c r="M82" s="28" t="s">
        <v>24</v>
      </c>
      <c r="N82" s="25" t="s">
        <v>74</v>
      </c>
      <c r="O82" s="25" t="s">
        <v>74</v>
      </c>
      <c r="P82" s="63" t="s">
        <v>74</v>
      </c>
      <c r="Q82" s="63" t="s">
        <v>74</v>
      </c>
      <c r="R82" s="63" t="s">
        <v>74</v>
      </c>
    </row>
    <row r="83" spans="1:19" x14ac:dyDescent="0.3">
      <c r="A83" s="9" t="s">
        <v>2</v>
      </c>
    </row>
    <row r="84" spans="1:19" s="3" customFormat="1" x14ac:dyDescent="0.3">
      <c r="A84" s="14">
        <f>IF(LEN(C84)=17,LEFT(C84,4)+(B84-1)/(DATE(LEFT(C84,4)+1,1,1)-DATE(LEFT(C84,4),1,1)),"BAD DATE FORMAT")</f>
        <v>2021.4958923135464</v>
      </c>
      <c r="B84" s="15">
        <f>DATE(LEFT(C84,4),RIGHT(LEFT(C84,7),2),RIGHT(LEFT(C84,10),2))-DATE(LEFT(C84,4),1,1)+1+(RIGHT(LEFT(C84,14),2)*60+RIGHT(C84,2))/1440</f>
        <v>182.00069444444443</v>
      </c>
      <c r="C84" s="3" t="s">
        <v>130</v>
      </c>
      <c r="D84" s="10"/>
      <c r="E84" s="23"/>
      <c r="F84" s="25"/>
      <c r="G84" s="25"/>
      <c r="H84" s="63"/>
      <c r="I84" s="63"/>
      <c r="J84" s="63"/>
      <c r="K84" s="19"/>
      <c r="L84" s="28"/>
      <c r="M84" s="28"/>
      <c r="N84" s="27"/>
      <c r="O84" s="27"/>
      <c r="P84" s="69"/>
      <c r="Q84" s="69"/>
      <c r="R84" s="63"/>
      <c r="S84" s="3" t="s">
        <v>111</v>
      </c>
    </row>
    <row r="85" spans="1:19" s="3" customFormat="1" x14ac:dyDescent="0.3">
      <c r="A85" s="51">
        <v>1000</v>
      </c>
      <c r="B85" s="52" t="s">
        <v>134</v>
      </c>
      <c r="C85" s="35" t="s">
        <v>133</v>
      </c>
      <c r="D85" s="53">
        <v>1</v>
      </c>
      <c r="E85" s="34">
        <f>1000/D85</f>
        <v>1000</v>
      </c>
      <c r="F85" s="34" t="s">
        <v>74</v>
      </c>
      <c r="G85" s="34" t="s">
        <v>74</v>
      </c>
      <c r="H85" s="54">
        <f>1000/I85</f>
        <v>60.200346753997302</v>
      </c>
      <c r="I85" s="33">
        <v>16.6112</v>
      </c>
      <c r="J85" s="33">
        <v>0.76827735566056199</v>
      </c>
      <c r="K85" s="20"/>
      <c r="L85" s="28" t="s">
        <v>149</v>
      </c>
      <c r="M85" s="28" t="s">
        <v>24</v>
      </c>
      <c r="N85" s="27" t="s">
        <v>74</v>
      </c>
      <c r="O85" s="27" t="s">
        <v>74</v>
      </c>
      <c r="P85" s="69" t="s">
        <v>0</v>
      </c>
      <c r="Q85" s="69" t="s">
        <v>150</v>
      </c>
      <c r="R85" s="69" t="s">
        <v>150</v>
      </c>
      <c r="S85" s="38" t="s">
        <v>152</v>
      </c>
    </row>
    <row r="86" spans="1:19" s="3" customFormat="1" x14ac:dyDescent="0.3">
      <c r="A86" s="22">
        <v>2010</v>
      </c>
      <c r="B86" s="9" t="s">
        <v>38</v>
      </c>
      <c r="C86" s="9" t="s">
        <v>124</v>
      </c>
      <c r="D86" s="10">
        <v>1</v>
      </c>
      <c r="E86" s="23">
        <f>1000/D86</f>
        <v>1000</v>
      </c>
      <c r="F86" s="25" t="s">
        <v>74</v>
      </c>
      <c r="G86" s="25" t="s">
        <v>74</v>
      </c>
      <c r="H86" s="63">
        <f>1000/I86</f>
        <v>119.39443144371747</v>
      </c>
      <c r="I86" s="60">
        <v>8.3756000000000004</v>
      </c>
      <c r="J86" s="60">
        <v>2.03531169831321</v>
      </c>
      <c r="K86" s="20"/>
      <c r="L86" s="28" t="s">
        <v>149</v>
      </c>
      <c r="M86" s="28" t="s">
        <v>24</v>
      </c>
      <c r="N86" s="27" t="s">
        <v>74</v>
      </c>
      <c r="O86" s="27" t="s">
        <v>74</v>
      </c>
      <c r="P86" s="69" t="s">
        <v>0</v>
      </c>
      <c r="Q86" s="69" t="s">
        <v>114</v>
      </c>
      <c r="R86" s="69" t="s">
        <v>114</v>
      </c>
      <c r="S86" s="38"/>
    </row>
    <row r="87" spans="1:19" s="3" customFormat="1" x14ac:dyDescent="0.3">
      <c r="A87" s="51">
        <v>3000</v>
      </c>
      <c r="B87" s="52" t="s">
        <v>131</v>
      </c>
      <c r="C87" s="33" t="s">
        <v>132</v>
      </c>
      <c r="D87" s="53">
        <v>1</v>
      </c>
      <c r="E87" s="34">
        <f>1000/D87</f>
        <v>1000</v>
      </c>
      <c r="F87" s="34" t="s">
        <v>74</v>
      </c>
      <c r="G87" s="34" t="s">
        <v>74</v>
      </c>
      <c r="H87" s="55">
        <f>1000/I87</f>
        <v>75.155760313249203</v>
      </c>
      <c r="I87" s="33">
        <v>13.3057</v>
      </c>
      <c r="J87" s="33">
        <v>0.83122061412608705</v>
      </c>
      <c r="K87" s="19"/>
      <c r="L87" s="28" t="s">
        <v>149</v>
      </c>
      <c r="M87" s="28" t="s">
        <v>24</v>
      </c>
      <c r="N87" s="27" t="s">
        <v>74</v>
      </c>
      <c r="O87" s="27" t="s">
        <v>74</v>
      </c>
      <c r="P87" s="69" t="s">
        <v>0</v>
      </c>
      <c r="Q87" s="69" t="s">
        <v>151</v>
      </c>
      <c r="R87" s="69" t="s">
        <v>151</v>
      </c>
      <c r="S87" s="38" t="s">
        <v>152</v>
      </c>
    </row>
    <row r="88" spans="1:19" s="3" customFormat="1" x14ac:dyDescent="0.3">
      <c r="A88" s="51">
        <v>0</v>
      </c>
      <c r="B88" s="52" t="s">
        <v>135</v>
      </c>
      <c r="C88" s="35" t="s">
        <v>138</v>
      </c>
      <c r="D88" s="53" t="s">
        <v>74</v>
      </c>
      <c r="E88" s="53" t="s">
        <v>74</v>
      </c>
      <c r="F88" s="34" t="s">
        <v>74</v>
      </c>
      <c r="G88" s="34" t="s">
        <v>74</v>
      </c>
      <c r="H88" s="34" t="s">
        <v>74</v>
      </c>
      <c r="I88" s="34" t="s">
        <v>74</v>
      </c>
      <c r="J88" s="34" t="s">
        <v>74</v>
      </c>
      <c r="K88" s="19"/>
      <c r="L88" s="28" t="s">
        <v>149</v>
      </c>
      <c r="M88" s="28" t="s">
        <v>24</v>
      </c>
      <c r="N88" s="27" t="s">
        <v>74</v>
      </c>
      <c r="O88" s="27" t="s">
        <v>74</v>
      </c>
      <c r="P88" s="63" t="s">
        <v>74</v>
      </c>
      <c r="Q88" s="63" t="s">
        <v>74</v>
      </c>
      <c r="R88" s="63" t="s">
        <v>74</v>
      </c>
    </row>
    <row r="89" spans="1:19" s="3" customFormat="1" x14ac:dyDescent="0.3">
      <c r="A89" s="22">
        <v>0</v>
      </c>
      <c r="B89" s="9" t="s">
        <v>136</v>
      </c>
      <c r="C89" s="9" t="s">
        <v>139</v>
      </c>
      <c r="D89" s="10" t="s">
        <v>74</v>
      </c>
      <c r="E89" s="10" t="s">
        <v>74</v>
      </c>
      <c r="F89" s="25" t="s">
        <v>74</v>
      </c>
      <c r="G89" s="25" t="s">
        <v>74</v>
      </c>
      <c r="H89" s="63" t="s">
        <v>74</v>
      </c>
      <c r="I89" s="63" t="s">
        <v>74</v>
      </c>
      <c r="J89" s="63" t="s">
        <v>74</v>
      </c>
      <c r="K89" s="19"/>
      <c r="L89" s="28" t="s">
        <v>149</v>
      </c>
      <c r="M89" s="28" t="s">
        <v>24</v>
      </c>
      <c r="N89" s="27" t="s">
        <v>74</v>
      </c>
      <c r="O89" s="27" t="s">
        <v>74</v>
      </c>
      <c r="P89" s="63" t="s">
        <v>74</v>
      </c>
      <c r="Q89" s="63" t="s">
        <v>74</v>
      </c>
      <c r="R89" s="63" t="s">
        <v>74</v>
      </c>
    </row>
    <row r="90" spans="1:19" s="3" customFormat="1" x14ac:dyDescent="0.3">
      <c r="A90" s="51">
        <v>0</v>
      </c>
      <c r="B90" s="52" t="s">
        <v>137</v>
      </c>
      <c r="C90" s="33" t="s">
        <v>140</v>
      </c>
      <c r="D90" s="53" t="s">
        <v>74</v>
      </c>
      <c r="E90" s="53" t="s">
        <v>74</v>
      </c>
      <c r="F90" s="34" t="s">
        <v>74</v>
      </c>
      <c r="G90" s="34" t="s">
        <v>74</v>
      </c>
      <c r="H90" s="34" t="s">
        <v>74</v>
      </c>
      <c r="I90" s="34" t="s">
        <v>74</v>
      </c>
      <c r="J90" s="34" t="s">
        <v>74</v>
      </c>
      <c r="K90" s="19"/>
      <c r="L90" s="28" t="s">
        <v>149</v>
      </c>
      <c r="M90" s="28" t="s">
        <v>24</v>
      </c>
      <c r="N90" s="27" t="s">
        <v>74</v>
      </c>
      <c r="O90" s="27" t="s">
        <v>74</v>
      </c>
      <c r="P90" s="63" t="s">
        <v>74</v>
      </c>
      <c r="Q90" s="63" t="s">
        <v>74</v>
      </c>
      <c r="R90" s="63" t="s">
        <v>74</v>
      </c>
    </row>
    <row r="91" spans="1:19" s="3" customFormat="1" x14ac:dyDescent="0.3">
      <c r="A91" s="52" t="s">
        <v>80</v>
      </c>
      <c r="B91" s="52" t="s">
        <v>141</v>
      </c>
      <c r="C91" s="35" t="s">
        <v>143</v>
      </c>
      <c r="D91" s="53">
        <v>1</v>
      </c>
      <c r="E91" s="34">
        <f t="shared" ref="E91:E93" si="2">1000/D91</f>
        <v>1000</v>
      </c>
      <c r="F91" s="34" t="s">
        <v>74</v>
      </c>
      <c r="G91" s="34" t="s">
        <v>74</v>
      </c>
      <c r="H91" s="54">
        <f>1000/I91</f>
        <v>60.200346753997302</v>
      </c>
      <c r="I91" s="33">
        <v>16.6112</v>
      </c>
      <c r="J91" s="33">
        <v>0.76827735566056199</v>
      </c>
      <c r="K91" s="19"/>
      <c r="L91" s="28" t="s">
        <v>149</v>
      </c>
      <c r="M91" s="28" t="s">
        <v>24</v>
      </c>
      <c r="N91" s="27" t="s">
        <v>74</v>
      </c>
      <c r="O91" s="27" t="s">
        <v>74</v>
      </c>
      <c r="P91" s="69" t="s">
        <v>0</v>
      </c>
      <c r="Q91" s="69" t="s">
        <v>150</v>
      </c>
      <c r="R91" s="69" t="s">
        <v>150</v>
      </c>
      <c r="S91" s="38"/>
    </row>
    <row r="92" spans="1:19" s="3" customFormat="1" x14ac:dyDescent="0.3">
      <c r="A92" s="14" t="s">
        <v>81</v>
      </c>
      <c r="B92" s="9" t="s">
        <v>94</v>
      </c>
      <c r="C92" s="9" t="s">
        <v>127</v>
      </c>
      <c r="D92" s="10">
        <v>1</v>
      </c>
      <c r="E92" s="23">
        <f t="shared" si="2"/>
        <v>1000</v>
      </c>
      <c r="F92" s="25" t="s">
        <v>74</v>
      </c>
      <c r="G92" s="25" t="s">
        <v>74</v>
      </c>
      <c r="H92" s="63">
        <f>1000/I92</f>
        <v>119.39443144371747</v>
      </c>
      <c r="I92" s="60">
        <v>8.3756000000000004</v>
      </c>
      <c r="J92" s="60">
        <v>2.03531169831321</v>
      </c>
      <c r="K92" s="19"/>
      <c r="L92" s="28" t="s">
        <v>149</v>
      </c>
      <c r="M92" s="28" t="s">
        <v>24</v>
      </c>
      <c r="N92" s="27" t="s">
        <v>74</v>
      </c>
      <c r="O92" s="27" t="s">
        <v>74</v>
      </c>
      <c r="P92" s="69" t="s">
        <v>0</v>
      </c>
      <c r="Q92" s="69" t="s">
        <v>114</v>
      </c>
      <c r="R92" s="69" t="s">
        <v>114</v>
      </c>
      <c r="S92" s="38"/>
    </row>
    <row r="93" spans="1:19" s="3" customFormat="1" x14ac:dyDescent="0.3">
      <c r="A93" s="52" t="s">
        <v>82</v>
      </c>
      <c r="B93" s="52" t="s">
        <v>142</v>
      </c>
      <c r="C93" s="33" t="s">
        <v>144</v>
      </c>
      <c r="D93" s="53">
        <v>1</v>
      </c>
      <c r="E93" s="34">
        <f t="shared" si="2"/>
        <v>1000</v>
      </c>
      <c r="F93" s="34" t="s">
        <v>74</v>
      </c>
      <c r="G93" s="34" t="s">
        <v>74</v>
      </c>
      <c r="H93" s="55">
        <f>1000/I93</f>
        <v>75.155760313249203</v>
      </c>
      <c r="I93" s="33">
        <v>13.3057</v>
      </c>
      <c r="J93" s="33">
        <v>0.83122061412608705</v>
      </c>
      <c r="K93" s="19"/>
      <c r="L93" s="28" t="s">
        <v>149</v>
      </c>
      <c r="M93" s="28" t="s">
        <v>24</v>
      </c>
      <c r="N93" s="27" t="s">
        <v>74</v>
      </c>
      <c r="O93" s="27" t="s">
        <v>74</v>
      </c>
      <c r="P93" s="69" t="s">
        <v>0</v>
      </c>
      <c r="Q93" s="69" t="s">
        <v>151</v>
      </c>
      <c r="R93" s="69" t="s">
        <v>151</v>
      </c>
      <c r="S93" s="38"/>
    </row>
    <row r="94" spans="1:19" x14ac:dyDescent="0.3">
      <c r="A94" s="9">
        <v>9300</v>
      </c>
      <c r="B94" s="2" t="s">
        <v>32</v>
      </c>
      <c r="C94" s="2" t="s">
        <v>129</v>
      </c>
      <c r="D94" s="23">
        <v>1</v>
      </c>
      <c r="E94" s="23">
        <f>1000/D94</f>
        <v>1000</v>
      </c>
      <c r="F94" s="25" t="s">
        <v>74</v>
      </c>
      <c r="G94" s="25" t="s">
        <v>74</v>
      </c>
      <c r="H94" s="63">
        <v>1</v>
      </c>
      <c r="I94" s="64">
        <v>1000</v>
      </c>
      <c r="J94" s="63">
        <v>1</v>
      </c>
      <c r="L94" s="28" t="s">
        <v>149</v>
      </c>
      <c r="M94" s="28" t="s">
        <v>24</v>
      </c>
      <c r="N94" s="27" t="s">
        <v>74</v>
      </c>
      <c r="O94" s="27" t="s">
        <v>74</v>
      </c>
      <c r="P94" s="69" t="s">
        <v>0</v>
      </c>
      <c r="Q94" s="69" t="s">
        <v>45</v>
      </c>
      <c r="R94" s="63" t="s">
        <v>46</v>
      </c>
    </row>
    <row r="95" spans="1:19" s="3" customFormat="1" x14ac:dyDescent="0.3">
      <c r="A95" s="34">
        <v>9380</v>
      </c>
      <c r="B95" s="52" t="s">
        <v>145</v>
      </c>
      <c r="C95" s="35" t="s">
        <v>147</v>
      </c>
      <c r="D95" s="53">
        <v>1</v>
      </c>
      <c r="E95" s="34">
        <v>1000</v>
      </c>
      <c r="F95" s="34" t="s">
        <v>74</v>
      </c>
      <c r="G95" s="34" t="s">
        <v>74</v>
      </c>
      <c r="H95" s="34">
        <v>1</v>
      </c>
      <c r="I95" s="34">
        <v>1000</v>
      </c>
      <c r="J95" s="34">
        <v>5</v>
      </c>
      <c r="K95" s="19"/>
      <c r="L95" s="28" t="s">
        <v>149</v>
      </c>
      <c r="M95" s="28" t="s">
        <v>24</v>
      </c>
      <c r="N95" s="27" t="s">
        <v>74</v>
      </c>
      <c r="O95" s="27" t="s">
        <v>74</v>
      </c>
      <c r="P95" s="69" t="s">
        <v>105</v>
      </c>
      <c r="Q95" s="69" t="s">
        <v>105</v>
      </c>
      <c r="R95" s="63" t="s">
        <v>46</v>
      </c>
    </row>
    <row r="96" spans="1:19" s="3" customFormat="1" x14ac:dyDescent="0.3">
      <c r="A96" s="34">
        <v>9381</v>
      </c>
      <c r="B96" s="52" t="s">
        <v>146</v>
      </c>
      <c r="C96" s="33" t="s">
        <v>148</v>
      </c>
      <c r="D96" s="53">
        <v>1</v>
      </c>
      <c r="E96" s="34">
        <v>1000</v>
      </c>
      <c r="F96" s="34" t="s">
        <v>74</v>
      </c>
      <c r="G96" s="34" t="s">
        <v>74</v>
      </c>
      <c r="H96" s="34">
        <v>1</v>
      </c>
      <c r="I96" s="34">
        <v>1000</v>
      </c>
      <c r="J96" s="34">
        <v>1</v>
      </c>
      <c r="K96" s="19"/>
      <c r="L96" s="28" t="s">
        <v>149</v>
      </c>
      <c r="M96" s="28" t="s">
        <v>24</v>
      </c>
      <c r="N96" s="27" t="s">
        <v>74</v>
      </c>
      <c r="O96" s="27" t="s">
        <v>74</v>
      </c>
      <c r="P96" s="69" t="s">
        <v>105</v>
      </c>
      <c r="Q96" s="69" t="s">
        <v>105</v>
      </c>
      <c r="R96" s="63" t="s">
        <v>46</v>
      </c>
    </row>
    <row r="97" spans="1:19" x14ac:dyDescent="0.3">
      <c r="A97" s="9">
        <v>0</v>
      </c>
      <c r="B97" s="2" t="s">
        <v>76</v>
      </c>
      <c r="C97" s="2" t="s">
        <v>77</v>
      </c>
      <c r="D97" s="23" t="s">
        <v>74</v>
      </c>
      <c r="E97" s="23" t="s">
        <v>74</v>
      </c>
      <c r="F97" s="25" t="s">
        <v>74</v>
      </c>
      <c r="G97" s="25" t="s">
        <v>74</v>
      </c>
      <c r="H97" s="63" t="s">
        <v>74</v>
      </c>
      <c r="I97" s="63" t="s">
        <v>74</v>
      </c>
      <c r="J97" s="63" t="s">
        <v>74</v>
      </c>
      <c r="L97" s="28" t="s">
        <v>149</v>
      </c>
      <c r="M97" s="28" t="s">
        <v>24</v>
      </c>
      <c r="N97" s="25" t="s">
        <v>74</v>
      </c>
      <c r="O97" s="25" t="s">
        <v>74</v>
      </c>
      <c r="P97" s="63" t="s">
        <v>74</v>
      </c>
      <c r="Q97" s="63" t="s">
        <v>74</v>
      </c>
      <c r="R97" s="63" t="s">
        <v>74</v>
      </c>
    </row>
    <row r="98" spans="1:19" x14ac:dyDescent="0.3">
      <c r="A98" s="9" t="s">
        <v>2</v>
      </c>
    </row>
    <row r="99" spans="1:19" s="3" customFormat="1" x14ac:dyDescent="0.3">
      <c r="A99" s="14">
        <f>IF(LEN(C99)=17,LEFT(C99,4)+(B99-1)/(DATE(LEFT(C99,4)+1,1,1)-DATE(LEFT(C99,4),1,1)),"BAD DATE FORMAT")</f>
        <v>2022.5466628614915</v>
      </c>
      <c r="B99" s="15">
        <f>DATE(LEFT(C99,4),RIGHT(LEFT(C99,7),2),RIGHT(LEFT(C99,10),2))-DATE(LEFT(C99,4),1,1)+1+(RIGHT(LEFT(C99,14),2)*60+RIGHT(C99,2))/1440</f>
        <v>200.53194444444443</v>
      </c>
      <c r="C99" s="3" t="s">
        <v>154</v>
      </c>
      <c r="D99" s="10"/>
      <c r="E99" s="23"/>
      <c r="F99" s="25"/>
      <c r="G99" s="25"/>
      <c r="H99" s="63"/>
      <c r="I99" s="63"/>
      <c r="J99" s="63"/>
      <c r="K99" s="19"/>
      <c r="L99" s="28"/>
      <c r="M99" s="28"/>
      <c r="N99" s="27"/>
      <c r="O99" s="27"/>
      <c r="P99" s="69"/>
      <c r="Q99" s="69"/>
      <c r="R99" s="63"/>
    </row>
    <row r="100" spans="1:19" s="3" customFormat="1" x14ac:dyDescent="0.3">
      <c r="A100" s="22">
        <v>1000</v>
      </c>
      <c r="B100" s="14" t="s">
        <v>134</v>
      </c>
      <c r="C100" s="2" t="s">
        <v>133</v>
      </c>
      <c r="D100" s="10">
        <v>1</v>
      </c>
      <c r="E100" s="23">
        <f>1000/D100</f>
        <v>1000</v>
      </c>
      <c r="F100" s="25" t="s">
        <v>74</v>
      </c>
      <c r="G100" s="25" t="s">
        <v>74</v>
      </c>
      <c r="H100" s="54">
        <f>1000/I100</f>
        <v>60.151461379754217</v>
      </c>
      <c r="I100" s="56">
        <v>16.624700000000001</v>
      </c>
      <c r="J100" s="33">
        <v>1.16405016530411</v>
      </c>
      <c r="K100" s="20"/>
      <c r="L100" s="28" t="s">
        <v>153</v>
      </c>
      <c r="M100" s="28" t="s">
        <v>24</v>
      </c>
      <c r="N100" s="27" t="s">
        <v>74</v>
      </c>
      <c r="O100" s="27" t="s">
        <v>74</v>
      </c>
      <c r="P100" s="69" t="s">
        <v>0</v>
      </c>
      <c r="Q100" s="69" t="s">
        <v>155</v>
      </c>
      <c r="R100" s="69" t="s">
        <v>155</v>
      </c>
      <c r="S100" s="38"/>
    </row>
    <row r="101" spans="1:19" s="3" customFormat="1" x14ac:dyDescent="0.3">
      <c r="A101" s="22">
        <v>2010</v>
      </c>
      <c r="B101" s="9" t="s">
        <v>38</v>
      </c>
      <c r="C101" s="9" t="s">
        <v>124</v>
      </c>
      <c r="D101" s="10">
        <v>1</v>
      </c>
      <c r="E101" s="23">
        <f>1000/D101</f>
        <v>1000</v>
      </c>
      <c r="F101" s="25" t="s">
        <v>74</v>
      </c>
      <c r="G101" s="25" t="s">
        <v>74</v>
      </c>
      <c r="H101" s="34">
        <f>1000/I101</f>
        <v>119.40155938436557</v>
      </c>
      <c r="I101" s="57">
        <v>8.3750999999999998</v>
      </c>
      <c r="J101" s="35">
        <v>1.8352099609999999</v>
      </c>
      <c r="K101" s="20"/>
      <c r="L101" s="28" t="s">
        <v>153</v>
      </c>
      <c r="M101" s="28" t="s">
        <v>24</v>
      </c>
      <c r="N101" s="27" t="s">
        <v>74</v>
      </c>
      <c r="O101" s="27" t="s">
        <v>74</v>
      </c>
      <c r="P101" s="69" t="s">
        <v>0</v>
      </c>
      <c r="Q101" s="69" t="s">
        <v>156</v>
      </c>
      <c r="R101" s="69" t="s">
        <v>156</v>
      </c>
      <c r="S101" s="38"/>
    </row>
    <row r="102" spans="1:19" s="3" customFormat="1" x14ac:dyDescent="0.3">
      <c r="A102" s="22">
        <v>3000</v>
      </c>
      <c r="B102" s="14" t="s">
        <v>131</v>
      </c>
      <c r="C102" s="3" t="s">
        <v>132</v>
      </c>
      <c r="D102" s="10">
        <v>1</v>
      </c>
      <c r="E102" s="23">
        <f>1000/D102</f>
        <v>1000</v>
      </c>
      <c r="F102" s="25" t="s">
        <v>74</v>
      </c>
      <c r="G102" s="25" t="s">
        <v>74</v>
      </c>
      <c r="H102" s="55">
        <f>1000/I102</f>
        <v>75.088604553372974</v>
      </c>
      <c r="I102" s="56">
        <v>13.317600000000001</v>
      </c>
      <c r="J102" s="33">
        <v>1.2169603471391199</v>
      </c>
      <c r="K102" s="19"/>
      <c r="L102" s="28" t="s">
        <v>153</v>
      </c>
      <c r="M102" s="28" t="s">
        <v>24</v>
      </c>
      <c r="N102" s="27" t="s">
        <v>74</v>
      </c>
      <c r="O102" s="27" t="s">
        <v>74</v>
      </c>
      <c r="P102" s="69" t="s">
        <v>0</v>
      </c>
      <c r="Q102" s="69" t="s">
        <v>157</v>
      </c>
      <c r="R102" s="69" t="s">
        <v>157</v>
      </c>
      <c r="S102" s="38"/>
    </row>
    <row r="103" spans="1:19" s="3" customFormat="1" x14ac:dyDescent="0.3">
      <c r="A103" s="22">
        <v>0</v>
      </c>
      <c r="B103" s="14" t="s">
        <v>135</v>
      </c>
      <c r="C103" s="2" t="s">
        <v>138</v>
      </c>
      <c r="D103" s="10" t="s">
        <v>74</v>
      </c>
      <c r="E103" s="23" t="s">
        <v>74</v>
      </c>
      <c r="F103" s="25" t="s">
        <v>74</v>
      </c>
      <c r="G103" s="25" t="s">
        <v>74</v>
      </c>
      <c r="H103" s="63" t="s">
        <v>74</v>
      </c>
      <c r="I103" s="63" t="s">
        <v>74</v>
      </c>
      <c r="J103" s="63" t="s">
        <v>74</v>
      </c>
      <c r="K103" s="19"/>
      <c r="L103" s="28" t="s">
        <v>153</v>
      </c>
      <c r="M103" s="28" t="s">
        <v>24</v>
      </c>
      <c r="N103" s="27" t="s">
        <v>74</v>
      </c>
      <c r="O103" s="27" t="s">
        <v>74</v>
      </c>
      <c r="P103" s="63" t="s">
        <v>74</v>
      </c>
      <c r="Q103" s="63" t="s">
        <v>74</v>
      </c>
      <c r="R103" s="63" t="s">
        <v>74</v>
      </c>
    </row>
    <row r="104" spans="1:19" s="3" customFormat="1" x14ac:dyDescent="0.3">
      <c r="A104" s="22">
        <v>0</v>
      </c>
      <c r="B104" s="9" t="s">
        <v>136</v>
      </c>
      <c r="C104" s="9" t="s">
        <v>139</v>
      </c>
      <c r="D104" s="10" t="s">
        <v>74</v>
      </c>
      <c r="E104" s="23" t="s">
        <v>74</v>
      </c>
      <c r="F104" s="25" t="s">
        <v>74</v>
      </c>
      <c r="G104" s="25" t="s">
        <v>74</v>
      </c>
      <c r="H104" s="63" t="s">
        <v>74</v>
      </c>
      <c r="I104" s="63" t="s">
        <v>74</v>
      </c>
      <c r="J104" s="63" t="s">
        <v>74</v>
      </c>
      <c r="K104" s="19"/>
      <c r="L104" s="28" t="s">
        <v>153</v>
      </c>
      <c r="M104" s="28" t="s">
        <v>24</v>
      </c>
      <c r="N104" s="27" t="s">
        <v>74</v>
      </c>
      <c r="O104" s="27" t="s">
        <v>74</v>
      </c>
      <c r="P104" s="63" t="s">
        <v>74</v>
      </c>
      <c r="Q104" s="63" t="s">
        <v>74</v>
      </c>
      <c r="R104" s="63" t="s">
        <v>74</v>
      </c>
    </row>
    <row r="105" spans="1:19" s="3" customFormat="1" x14ac:dyDescent="0.3">
      <c r="A105" s="22">
        <v>0</v>
      </c>
      <c r="B105" s="14" t="s">
        <v>137</v>
      </c>
      <c r="C105" s="3" t="s">
        <v>140</v>
      </c>
      <c r="D105" s="10" t="s">
        <v>74</v>
      </c>
      <c r="E105" s="23" t="s">
        <v>74</v>
      </c>
      <c r="F105" s="25" t="s">
        <v>74</v>
      </c>
      <c r="G105" s="25" t="s">
        <v>74</v>
      </c>
      <c r="H105" s="63" t="s">
        <v>74</v>
      </c>
      <c r="I105" s="63" t="s">
        <v>74</v>
      </c>
      <c r="J105" s="63" t="s">
        <v>74</v>
      </c>
      <c r="K105" s="19"/>
      <c r="L105" s="28" t="s">
        <v>153</v>
      </c>
      <c r="M105" s="28" t="s">
        <v>24</v>
      </c>
      <c r="N105" s="27" t="s">
        <v>74</v>
      </c>
      <c r="O105" s="27" t="s">
        <v>74</v>
      </c>
      <c r="P105" s="63" t="s">
        <v>74</v>
      </c>
      <c r="Q105" s="63" t="s">
        <v>74</v>
      </c>
      <c r="R105" s="63" t="s">
        <v>74</v>
      </c>
    </row>
    <row r="106" spans="1:19" s="3" customFormat="1" x14ac:dyDescent="0.3">
      <c r="A106" s="14" t="s">
        <v>80</v>
      </c>
      <c r="B106" s="14" t="s">
        <v>141</v>
      </c>
      <c r="C106" s="2" t="s">
        <v>143</v>
      </c>
      <c r="D106" s="10">
        <v>1</v>
      </c>
      <c r="E106" s="23">
        <f t="shared" ref="E106:E108" si="3">1000/D106</f>
        <v>1000</v>
      </c>
      <c r="F106" s="25" t="s">
        <v>74</v>
      </c>
      <c r="G106" s="25" t="s">
        <v>74</v>
      </c>
      <c r="H106" s="54">
        <f>1000/I106</f>
        <v>60.151461379754217</v>
      </c>
      <c r="I106" s="56">
        <v>16.624700000000001</v>
      </c>
      <c r="J106" s="33">
        <v>1.16405016530411</v>
      </c>
      <c r="K106" s="19"/>
      <c r="L106" s="28" t="s">
        <v>153</v>
      </c>
      <c r="M106" s="28" t="s">
        <v>24</v>
      </c>
      <c r="N106" s="27" t="s">
        <v>74</v>
      </c>
      <c r="O106" s="27" t="s">
        <v>74</v>
      </c>
      <c r="P106" s="69" t="s">
        <v>0</v>
      </c>
      <c r="Q106" s="69" t="s">
        <v>155</v>
      </c>
      <c r="R106" s="69" t="s">
        <v>155</v>
      </c>
      <c r="S106" s="38"/>
    </row>
    <row r="107" spans="1:19" s="3" customFormat="1" x14ac:dyDescent="0.3">
      <c r="A107" s="14" t="s">
        <v>81</v>
      </c>
      <c r="B107" s="9" t="s">
        <v>94</v>
      </c>
      <c r="C107" s="9" t="s">
        <v>127</v>
      </c>
      <c r="D107" s="10">
        <v>1</v>
      </c>
      <c r="E107" s="23">
        <f t="shared" si="3"/>
        <v>1000</v>
      </c>
      <c r="F107" s="25" t="s">
        <v>74</v>
      </c>
      <c r="G107" s="25" t="s">
        <v>74</v>
      </c>
      <c r="H107" s="34">
        <f>1000/I107</f>
        <v>119.40155938436557</v>
      </c>
      <c r="I107" s="57">
        <v>8.3750999999999998</v>
      </c>
      <c r="J107" s="35">
        <v>1.8352099609999999</v>
      </c>
      <c r="K107" s="19"/>
      <c r="L107" s="28" t="s">
        <v>153</v>
      </c>
      <c r="M107" s="28" t="s">
        <v>24</v>
      </c>
      <c r="N107" s="27" t="s">
        <v>74</v>
      </c>
      <c r="O107" s="27" t="s">
        <v>74</v>
      </c>
      <c r="P107" s="69" t="s">
        <v>0</v>
      </c>
      <c r="Q107" s="69" t="s">
        <v>156</v>
      </c>
      <c r="R107" s="69" t="s">
        <v>156</v>
      </c>
      <c r="S107" s="38"/>
    </row>
    <row r="108" spans="1:19" s="3" customFormat="1" x14ac:dyDescent="0.3">
      <c r="A108" s="14" t="s">
        <v>82</v>
      </c>
      <c r="B108" s="14" t="s">
        <v>142</v>
      </c>
      <c r="C108" s="3" t="s">
        <v>144</v>
      </c>
      <c r="D108" s="10">
        <v>1</v>
      </c>
      <c r="E108" s="23">
        <f t="shared" si="3"/>
        <v>1000</v>
      </c>
      <c r="F108" s="25" t="s">
        <v>74</v>
      </c>
      <c r="G108" s="25" t="s">
        <v>74</v>
      </c>
      <c r="H108" s="55">
        <f>1000/I108</f>
        <v>75.088604553372974</v>
      </c>
      <c r="I108" s="56">
        <v>13.317600000000001</v>
      </c>
      <c r="J108" s="33">
        <v>1.2169603471391199</v>
      </c>
      <c r="K108" s="19"/>
      <c r="L108" s="28" t="s">
        <v>153</v>
      </c>
      <c r="M108" s="28" t="s">
        <v>24</v>
      </c>
      <c r="N108" s="27" t="s">
        <v>74</v>
      </c>
      <c r="O108" s="27" t="s">
        <v>74</v>
      </c>
      <c r="P108" s="69" t="s">
        <v>0</v>
      </c>
      <c r="Q108" s="69" t="s">
        <v>157</v>
      </c>
      <c r="R108" s="69" t="s">
        <v>157</v>
      </c>
      <c r="S108" s="38"/>
    </row>
    <row r="109" spans="1:19" x14ac:dyDescent="0.3">
      <c r="A109" s="9">
        <v>9300</v>
      </c>
      <c r="B109" s="2" t="s">
        <v>32</v>
      </c>
      <c r="C109" s="2" t="s">
        <v>129</v>
      </c>
      <c r="D109" s="10">
        <v>1</v>
      </c>
      <c r="E109" s="23">
        <f>1000/D109</f>
        <v>1000</v>
      </c>
      <c r="F109" s="25" t="s">
        <v>74</v>
      </c>
      <c r="G109" s="25" t="s">
        <v>74</v>
      </c>
      <c r="H109" s="63">
        <v>1</v>
      </c>
      <c r="I109" s="64">
        <v>1000</v>
      </c>
      <c r="J109" s="63">
        <v>1</v>
      </c>
      <c r="L109" s="28" t="s">
        <v>153</v>
      </c>
      <c r="M109" s="28" t="s">
        <v>24</v>
      </c>
      <c r="N109" s="27" t="s">
        <v>74</v>
      </c>
      <c r="O109" s="27" t="s">
        <v>74</v>
      </c>
      <c r="P109" s="69" t="s">
        <v>0</v>
      </c>
      <c r="Q109" s="69"/>
      <c r="R109" s="63"/>
    </row>
    <row r="110" spans="1:19" s="3" customFormat="1" x14ac:dyDescent="0.3">
      <c r="A110" s="9">
        <v>9380</v>
      </c>
      <c r="B110" s="14" t="s">
        <v>145</v>
      </c>
      <c r="C110" s="2" t="s">
        <v>147</v>
      </c>
      <c r="D110" s="10">
        <v>1</v>
      </c>
      <c r="E110" s="23">
        <v>1000</v>
      </c>
      <c r="F110" s="25" t="s">
        <v>74</v>
      </c>
      <c r="G110" s="25" t="s">
        <v>74</v>
      </c>
      <c r="H110" s="63">
        <v>1</v>
      </c>
      <c r="I110" s="64">
        <v>1000</v>
      </c>
      <c r="J110" s="63">
        <v>5</v>
      </c>
      <c r="K110" s="19"/>
      <c r="L110" s="28" t="s">
        <v>153</v>
      </c>
      <c r="M110" s="28" t="s">
        <v>24</v>
      </c>
      <c r="N110" s="27" t="s">
        <v>74</v>
      </c>
      <c r="O110" s="27" t="s">
        <v>74</v>
      </c>
      <c r="P110" s="69"/>
      <c r="Q110" s="69"/>
      <c r="R110" s="63"/>
    </row>
    <row r="111" spans="1:19" s="3" customFormat="1" x14ac:dyDescent="0.3">
      <c r="A111" s="9">
        <v>9381</v>
      </c>
      <c r="B111" s="14" t="s">
        <v>146</v>
      </c>
      <c r="C111" s="3" t="s">
        <v>148</v>
      </c>
      <c r="D111" s="10">
        <v>1</v>
      </c>
      <c r="E111" s="23">
        <v>1000</v>
      </c>
      <c r="F111" s="25" t="s">
        <v>74</v>
      </c>
      <c r="G111" s="25" t="s">
        <v>74</v>
      </c>
      <c r="H111" s="63">
        <v>1</v>
      </c>
      <c r="I111" s="64">
        <v>1000</v>
      </c>
      <c r="J111" s="63">
        <v>1</v>
      </c>
      <c r="K111" s="19"/>
      <c r="L111" s="28" t="s">
        <v>153</v>
      </c>
      <c r="M111" s="28" t="s">
        <v>24</v>
      </c>
      <c r="N111" s="27" t="s">
        <v>74</v>
      </c>
      <c r="O111" s="27" t="s">
        <v>74</v>
      </c>
      <c r="P111" s="69"/>
      <c r="Q111" s="69"/>
      <c r="R111" s="63"/>
    </row>
    <row r="112" spans="1:19" x14ac:dyDescent="0.3">
      <c r="A112" s="9">
        <v>0</v>
      </c>
      <c r="B112" s="2" t="s">
        <v>76</v>
      </c>
      <c r="C112" s="2" t="s">
        <v>77</v>
      </c>
      <c r="D112" s="10" t="s">
        <v>74</v>
      </c>
      <c r="E112" s="23" t="s">
        <v>74</v>
      </c>
      <c r="F112" s="25" t="s">
        <v>74</v>
      </c>
      <c r="G112" s="25" t="s">
        <v>74</v>
      </c>
      <c r="H112" s="63" t="s">
        <v>74</v>
      </c>
      <c r="I112" s="64" t="s">
        <v>74</v>
      </c>
      <c r="J112" s="63" t="s">
        <v>74</v>
      </c>
      <c r="L112" s="28" t="s">
        <v>153</v>
      </c>
      <c r="M112" s="28" t="s">
        <v>24</v>
      </c>
      <c r="N112" s="25" t="s">
        <v>74</v>
      </c>
      <c r="O112" s="25" t="s">
        <v>74</v>
      </c>
      <c r="P112" s="63" t="s">
        <v>74</v>
      </c>
      <c r="Q112" s="63" t="s">
        <v>74</v>
      </c>
      <c r="R112" s="63" t="s">
        <v>74</v>
      </c>
    </row>
    <row r="113" spans="1:19" x14ac:dyDescent="0.3">
      <c r="A113" s="9" t="s">
        <v>2</v>
      </c>
    </row>
    <row r="114" spans="1:19" s="3" customFormat="1" x14ac:dyDescent="0.3">
      <c r="A114" s="14">
        <f>IF(LEN(C114)=17,LEFT(C114,4)+(B114-1)/(DATE(LEFT(C114,4)+1,1,1)-DATE(LEFT(C114,4),1,1)),"BAD DATE FORMAT")</f>
        <v>2024.084701350941</v>
      </c>
      <c r="B114" s="15">
        <f>DATE(LEFT(C114,4),RIGHT(LEFT(C114,7),2),RIGHT(LEFT(C114,10),2))-DATE(LEFT(C114,4),1,1)+1+(RIGHT(LEFT(C114,14),2)*60+RIGHT(C114,2))/1440</f>
        <v>32.000694444444441</v>
      </c>
      <c r="C114" s="3" t="s">
        <v>158</v>
      </c>
      <c r="D114" s="10"/>
      <c r="E114" s="23"/>
      <c r="F114" s="25"/>
      <c r="G114" s="25"/>
      <c r="H114" s="63"/>
      <c r="I114" s="63"/>
      <c r="J114" s="63"/>
      <c r="K114" s="19"/>
      <c r="L114" s="28"/>
      <c r="M114" s="28"/>
      <c r="N114" s="27"/>
      <c r="O114" s="27"/>
      <c r="P114" s="69"/>
      <c r="Q114" s="69"/>
      <c r="R114" s="63"/>
    </row>
    <row r="115" spans="1:19" s="3" customFormat="1" x14ac:dyDescent="0.3">
      <c r="A115" s="43">
        <v>0</v>
      </c>
      <c r="B115" s="43" t="s">
        <v>159</v>
      </c>
      <c r="C115" s="43" t="s">
        <v>159</v>
      </c>
      <c r="D115" s="5" t="s">
        <v>74</v>
      </c>
      <c r="E115" s="6" t="s">
        <v>74</v>
      </c>
      <c r="F115" s="58" t="s">
        <v>74</v>
      </c>
      <c r="G115" s="58" t="s">
        <v>74</v>
      </c>
      <c r="H115" s="59" t="s">
        <v>74</v>
      </c>
      <c r="I115" s="60" t="s">
        <v>74</v>
      </c>
      <c r="J115" s="60" t="s">
        <v>74</v>
      </c>
      <c r="K115" s="19"/>
      <c r="L115" s="28" t="s">
        <v>74</v>
      </c>
      <c r="M115" s="28" t="s">
        <v>74</v>
      </c>
      <c r="N115" s="27" t="s">
        <v>74</v>
      </c>
      <c r="O115" s="27" t="s">
        <v>74</v>
      </c>
      <c r="P115" s="69" t="s">
        <v>74</v>
      </c>
      <c r="Q115" s="69" t="s">
        <v>74</v>
      </c>
      <c r="R115" s="69" t="s">
        <v>74</v>
      </c>
    </row>
    <row r="116" spans="1:19" s="3" customFormat="1" x14ac:dyDescent="0.3">
      <c r="A116" s="43">
        <v>0</v>
      </c>
      <c r="B116" s="43" t="s">
        <v>160</v>
      </c>
      <c r="C116" s="43" t="s">
        <v>160</v>
      </c>
      <c r="D116" s="5" t="s">
        <v>74</v>
      </c>
      <c r="E116" s="6" t="s">
        <v>74</v>
      </c>
      <c r="F116" s="58" t="s">
        <v>74</v>
      </c>
      <c r="G116" s="58" t="s">
        <v>74</v>
      </c>
      <c r="H116" s="59" t="s">
        <v>74</v>
      </c>
      <c r="I116" s="60" t="s">
        <v>74</v>
      </c>
      <c r="J116" s="60" t="s">
        <v>74</v>
      </c>
      <c r="K116" s="19"/>
      <c r="L116" s="28" t="s">
        <v>74</v>
      </c>
      <c r="M116" s="28" t="s">
        <v>74</v>
      </c>
      <c r="N116" s="27" t="s">
        <v>74</v>
      </c>
      <c r="O116" s="27" t="s">
        <v>74</v>
      </c>
      <c r="P116" s="69" t="s">
        <v>74</v>
      </c>
      <c r="Q116" s="69" t="s">
        <v>74</v>
      </c>
      <c r="R116" s="69" t="s">
        <v>74</v>
      </c>
    </row>
    <row r="117" spans="1:19" s="3" customFormat="1" x14ac:dyDescent="0.3">
      <c r="A117" s="22">
        <v>1000</v>
      </c>
      <c r="B117" s="14" t="s">
        <v>134</v>
      </c>
      <c r="C117" s="2" t="s">
        <v>133</v>
      </c>
      <c r="D117" s="10">
        <v>1</v>
      </c>
      <c r="E117" s="23">
        <f>1000/D117</f>
        <v>1000</v>
      </c>
      <c r="F117" s="25" t="s">
        <v>74</v>
      </c>
      <c r="G117" s="25" t="s">
        <v>74</v>
      </c>
      <c r="H117" s="54">
        <f>1000/I117</f>
        <v>60.192012519938608</v>
      </c>
      <c r="I117" s="56">
        <v>16.613499999999998</v>
      </c>
      <c r="J117" s="33">
        <v>1.2587336487582701</v>
      </c>
      <c r="K117" s="20"/>
      <c r="L117" s="28" t="s">
        <v>175</v>
      </c>
      <c r="M117" s="28" t="s">
        <v>175</v>
      </c>
      <c r="N117" s="27" t="s">
        <v>74</v>
      </c>
      <c r="O117" s="27" t="s">
        <v>74</v>
      </c>
      <c r="P117" s="69" t="s">
        <v>0</v>
      </c>
      <c r="Q117" s="69" t="s">
        <v>176</v>
      </c>
      <c r="R117" s="69" t="s">
        <v>176</v>
      </c>
      <c r="S117" s="38"/>
    </row>
    <row r="118" spans="1:19" s="3" customFormat="1" x14ac:dyDescent="0.3">
      <c r="A118" s="22">
        <v>0</v>
      </c>
      <c r="B118" s="14" t="s">
        <v>135</v>
      </c>
      <c r="C118" s="2" t="s">
        <v>138</v>
      </c>
      <c r="D118" s="5" t="s">
        <v>74</v>
      </c>
      <c r="E118" s="6" t="s">
        <v>74</v>
      </c>
      <c r="F118" s="58" t="s">
        <v>74</v>
      </c>
      <c r="G118" s="58" t="s">
        <v>74</v>
      </c>
      <c r="H118" s="59" t="s">
        <v>74</v>
      </c>
      <c r="I118" s="60" t="s">
        <v>74</v>
      </c>
      <c r="J118" s="60" t="s">
        <v>74</v>
      </c>
      <c r="K118" s="20"/>
      <c r="L118" s="28" t="s">
        <v>175</v>
      </c>
      <c r="M118" s="28" t="s">
        <v>175</v>
      </c>
      <c r="N118" s="27" t="s">
        <v>74</v>
      </c>
      <c r="O118" s="27" t="s">
        <v>74</v>
      </c>
      <c r="P118" s="69" t="s">
        <v>74</v>
      </c>
      <c r="Q118" s="69" t="s">
        <v>74</v>
      </c>
      <c r="R118" s="69" t="s">
        <v>74</v>
      </c>
      <c r="S118" s="38"/>
    </row>
    <row r="119" spans="1:19" s="3" customFormat="1" x14ac:dyDescent="0.3">
      <c r="A119" s="22">
        <v>0</v>
      </c>
      <c r="B119" s="14" t="s">
        <v>141</v>
      </c>
      <c r="C119" s="2" t="s">
        <v>143</v>
      </c>
      <c r="D119" s="10">
        <v>1</v>
      </c>
      <c r="E119" s="23">
        <f>1000/D119</f>
        <v>1000</v>
      </c>
      <c r="F119" s="58" t="s">
        <v>74</v>
      </c>
      <c r="G119" s="58" t="s">
        <v>74</v>
      </c>
      <c r="H119" s="61">
        <f>1000/I119</f>
        <v>60.192012519938608</v>
      </c>
      <c r="I119" s="35">
        <f>I117</f>
        <v>16.613499999999998</v>
      </c>
      <c r="J119" s="35">
        <f>J117</f>
        <v>1.2587336487582701</v>
      </c>
      <c r="K119" s="20"/>
      <c r="L119" s="28" t="s">
        <v>175</v>
      </c>
      <c r="M119" s="28" t="s">
        <v>175</v>
      </c>
      <c r="N119" s="27" t="s">
        <v>74</v>
      </c>
      <c r="O119" s="27" t="s">
        <v>74</v>
      </c>
      <c r="P119" s="69" t="s">
        <v>74</v>
      </c>
      <c r="Q119" s="69" t="s">
        <v>74</v>
      </c>
      <c r="R119" s="69" t="s">
        <v>74</v>
      </c>
      <c r="S119" s="38"/>
    </row>
    <row r="120" spans="1:19" s="3" customFormat="1" x14ac:dyDescent="0.3">
      <c r="A120" s="51">
        <v>0</v>
      </c>
      <c r="B120" s="52" t="s">
        <v>164</v>
      </c>
      <c r="C120" s="35" t="s">
        <v>165</v>
      </c>
      <c r="D120" s="61" t="s">
        <v>74</v>
      </c>
      <c r="E120" s="35" t="s">
        <v>74</v>
      </c>
      <c r="F120" s="35" t="s">
        <v>74</v>
      </c>
      <c r="G120" s="35" t="s">
        <v>74</v>
      </c>
      <c r="H120" s="61" t="s">
        <v>74</v>
      </c>
      <c r="I120" s="35" t="s">
        <v>74</v>
      </c>
      <c r="J120" s="62" t="s">
        <v>74</v>
      </c>
      <c r="K120" s="20"/>
      <c r="L120" s="28" t="s">
        <v>175</v>
      </c>
      <c r="M120" s="28" t="s">
        <v>175</v>
      </c>
      <c r="N120" s="27" t="s">
        <v>74</v>
      </c>
      <c r="O120" s="27" t="s">
        <v>74</v>
      </c>
      <c r="P120" s="69" t="s">
        <v>74</v>
      </c>
      <c r="Q120" s="69" t="s">
        <v>74</v>
      </c>
      <c r="R120" s="69" t="s">
        <v>74</v>
      </c>
      <c r="S120" s="38"/>
    </row>
    <row r="121" spans="1:19" s="3" customFormat="1" x14ac:dyDescent="0.3">
      <c r="A121" s="22">
        <v>2010</v>
      </c>
      <c r="B121" s="9" t="s">
        <v>38</v>
      </c>
      <c r="C121" s="9" t="s">
        <v>124</v>
      </c>
      <c r="D121" s="10">
        <v>1</v>
      </c>
      <c r="E121" s="23">
        <f>1000/D121</f>
        <v>1000</v>
      </c>
      <c r="F121" s="25" t="s">
        <v>74</v>
      </c>
      <c r="G121" s="25" t="s">
        <v>74</v>
      </c>
      <c r="H121" s="34">
        <f>1000/I121</f>
        <v>119.65157461472194</v>
      </c>
      <c r="I121" s="57">
        <v>8.3575999999999997</v>
      </c>
      <c r="J121" s="35">
        <v>1.8811551773110999</v>
      </c>
      <c r="K121" s="20"/>
      <c r="L121" s="28" t="s">
        <v>175</v>
      </c>
      <c r="M121" s="28" t="s">
        <v>175</v>
      </c>
      <c r="N121" s="27" t="s">
        <v>74</v>
      </c>
      <c r="O121" s="27" t="s">
        <v>74</v>
      </c>
      <c r="P121" s="69" t="s">
        <v>0</v>
      </c>
      <c r="Q121" s="69" t="s">
        <v>177</v>
      </c>
      <c r="R121" s="69" t="s">
        <v>177</v>
      </c>
      <c r="S121" s="38"/>
    </row>
    <row r="122" spans="1:19" s="3" customFormat="1" x14ac:dyDescent="0.3">
      <c r="A122" s="22">
        <v>0</v>
      </c>
      <c r="B122" s="9" t="s">
        <v>136</v>
      </c>
      <c r="C122" s="9" t="s">
        <v>139</v>
      </c>
      <c r="D122" s="5" t="s">
        <v>74</v>
      </c>
      <c r="E122" s="6" t="s">
        <v>74</v>
      </c>
      <c r="F122" s="58" t="s">
        <v>74</v>
      </c>
      <c r="G122" s="58" t="s">
        <v>74</v>
      </c>
      <c r="H122" s="59" t="s">
        <v>74</v>
      </c>
      <c r="I122" s="60" t="s">
        <v>74</v>
      </c>
      <c r="J122" s="60" t="s">
        <v>74</v>
      </c>
      <c r="K122" s="20"/>
      <c r="L122" s="28" t="s">
        <v>175</v>
      </c>
      <c r="M122" s="28" t="s">
        <v>175</v>
      </c>
      <c r="N122" s="27" t="s">
        <v>74</v>
      </c>
      <c r="O122" s="27" t="s">
        <v>74</v>
      </c>
      <c r="P122" s="69" t="s">
        <v>74</v>
      </c>
      <c r="Q122" s="69" t="s">
        <v>74</v>
      </c>
      <c r="R122" s="69" t="s">
        <v>74</v>
      </c>
      <c r="S122" s="38"/>
    </row>
    <row r="123" spans="1:19" s="3" customFormat="1" x14ac:dyDescent="0.3">
      <c r="A123" s="22">
        <v>0</v>
      </c>
      <c r="B123" s="9" t="s">
        <v>94</v>
      </c>
      <c r="C123" s="9" t="s">
        <v>127</v>
      </c>
      <c r="D123" s="10">
        <v>1</v>
      </c>
      <c r="E123" s="23">
        <f>1000/D123</f>
        <v>1000</v>
      </c>
      <c r="F123" s="25" t="s">
        <v>74</v>
      </c>
      <c r="G123" s="25" t="s">
        <v>74</v>
      </c>
      <c r="H123" s="54">
        <f>1000/I123</f>
        <v>119.65157461472194</v>
      </c>
      <c r="I123" s="56">
        <f>I121</f>
        <v>8.3575999999999997</v>
      </c>
      <c r="J123" s="33">
        <f>J121</f>
        <v>1.8811551773110999</v>
      </c>
      <c r="K123" s="19"/>
      <c r="L123" s="28" t="s">
        <v>175</v>
      </c>
      <c r="M123" s="28" t="s">
        <v>175</v>
      </c>
      <c r="N123" s="27" t="s">
        <v>74</v>
      </c>
      <c r="O123" s="27" t="s">
        <v>74</v>
      </c>
      <c r="P123" s="69" t="s">
        <v>74</v>
      </c>
      <c r="Q123" s="69" t="s">
        <v>74</v>
      </c>
      <c r="R123" s="69" t="s">
        <v>74</v>
      </c>
      <c r="S123" s="38"/>
    </row>
    <row r="124" spans="1:19" s="3" customFormat="1" x14ac:dyDescent="0.3">
      <c r="A124" s="51">
        <v>0</v>
      </c>
      <c r="B124" s="34" t="s">
        <v>166</v>
      </c>
      <c r="C124" s="34" t="s">
        <v>167</v>
      </c>
      <c r="D124" s="61" t="s">
        <v>74</v>
      </c>
      <c r="E124" s="35" t="s">
        <v>74</v>
      </c>
      <c r="F124" s="35" t="s">
        <v>74</v>
      </c>
      <c r="G124" s="35" t="s">
        <v>74</v>
      </c>
      <c r="H124" s="61" t="s">
        <v>74</v>
      </c>
      <c r="I124" s="35" t="s">
        <v>74</v>
      </c>
      <c r="J124" s="62" t="s">
        <v>74</v>
      </c>
      <c r="K124" s="20"/>
      <c r="L124" s="28" t="s">
        <v>175</v>
      </c>
      <c r="M124" s="28" t="s">
        <v>175</v>
      </c>
      <c r="N124" s="27" t="s">
        <v>74</v>
      </c>
      <c r="O124" s="27" t="s">
        <v>74</v>
      </c>
      <c r="P124" s="69" t="s">
        <v>74</v>
      </c>
      <c r="Q124" s="69" t="s">
        <v>74</v>
      </c>
      <c r="R124" s="69" t="s">
        <v>74</v>
      </c>
      <c r="S124" s="38"/>
    </row>
    <row r="125" spans="1:19" s="3" customFormat="1" x14ac:dyDescent="0.3">
      <c r="A125" s="22">
        <v>3000</v>
      </c>
      <c r="B125" s="14" t="s">
        <v>131</v>
      </c>
      <c r="C125" s="3" t="s">
        <v>132</v>
      </c>
      <c r="D125" s="10">
        <v>1</v>
      </c>
      <c r="E125" s="23">
        <f>1000/D125</f>
        <v>1000</v>
      </c>
      <c r="F125" s="25" t="s">
        <v>74</v>
      </c>
      <c r="G125" s="25" t="s">
        <v>74</v>
      </c>
      <c r="H125" s="55">
        <f>1000/I125</f>
        <v>75.141641995160882</v>
      </c>
      <c r="I125" s="56">
        <v>13.308199999999999</v>
      </c>
      <c r="J125" s="33">
        <v>1.2914628942617901</v>
      </c>
      <c r="K125" s="19"/>
      <c r="L125" s="28" t="s">
        <v>175</v>
      </c>
      <c r="M125" s="28" t="s">
        <v>175</v>
      </c>
      <c r="N125" s="27" t="s">
        <v>74</v>
      </c>
      <c r="O125" s="27" t="s">
        <v>74</v>
      </c>
      <c r="P125" s="69" t="s">
        <v>0</v>
      </c>
      <c r="Q125" s="69" t="s">
        <v>178</v>
      </c>
      <c r="R125" s="69" t="s">
        <v>178</v>
      </c>
      <c r="S125" s="38"/>
    </row>
    <row r="126" spans="1:19" s="3" customFormat="1" x14ac:dyDescent="0.3">
      <c r="A126" s="22">
        <v>0</v>
      </c>
      <c r="B126" s="14" t="s">
        <v>137</v>
      </c>
      <c r="C126" s="3" t="s">
        <v>140</v>
      </c>
      <c r="D126" s="5" t="s">
        <v>74</v>
      </c>
      <c r="E126" s="6" t="s">
        <v>74</v>
      </c>
      <c r="F126" s="58" t="s">
        <v>74</v>
      </c>
      <c r="G126" s="58" t="s">
        <v>74</v>
      </c>
      <c r="H126" s="59" t="s">
        <v>74</v>
      </c>
      <c r="I126" s="60" t="s">
        <v>74</v>
      </c>
      <c r="J126" s="60" t="s">
        <v>74</v>
      </c>
      <c r="K126" s="19"/>
      <c r="L126" s="28" t="s">
        <v>175</v>
      </c>
      <c r="M126" s="28" t="s">
        <v>175</v>
      </c>
      <c r="N126" s="27" t="s">
        <v>74</v>
      </c>
      <c r="O126" s="27" t="s">
        <v>74</v>
      </c>
      <c r="P126" s="69" t="s">
        <v>74</v>
      </c>
      <c r="Q126" s="69" t="s">
        <v>74</v>
      </c>
      <c r="R126" s="69" t="s">
        <v>74</v>
      </c>
    </row>
    <row r="127" spans="1:19" s="3" customFormat="1" x14ac:dyDescent="0.3">
      <c r="A127" s="22">
        <v>0</v>
      </c>
      <c r="B127" s="14" t="s">
        <v>142</v>
      </c>
      <c r="C127" s="3" t="s">
        <v>144</v>
      </c>
      <c r="D127" s="10">
        <v>1</v>
      </c>
      <c r="E127" s="23">
        <f>1000/D127</f>
        <v>1000</v>
      </c>
      <c r="F127" s="25" t="s">
        <v>74</v>
      </c>
      <c r="G127" s="25" t="s">
        <v>74</v>
      </c>
      <c r="H127" s="54">
        <f>1000/I127</f>
        <v>75.141641995160882</v>
      </c>
      <c r="I127" s="56">
        <f>I125</f>
        <v>13.308199999999999</v>
      </c>
      <c r="J127" s="33">
        <f>J125</f>
        <v>1.2914628942617901</v>
      </c>
      <c r="K127" s="19"/>
      <c r="L127" s="28" t="s">
        <v>175</v>
      </c>
      <c r="M127" s="28" t="s">
        <v>175</v>
      </c>
      <c r="N127" s="27" t="s">
        <v>74</v>
      </c>
      <c r="O127" s="27" t="s">
        <v>74</v>
      </c>
      <c r="P127" s="69" t="s">
        <v>74</v>
      </c>
      <c r="Q127" s="69" t="s">
        <v>74</v>
      </c>
      <c r="R127" s="69" t="s">
        <v>74</v>
      </c>
    </row>
    <row r="128" spans="1:19" x14ac:dyDescent="0.3">
      <c r="A128" s="35">
        <v>0</v>
      </c>
      <c r="B128" s="52" t="s">
        <v>168</v>
      </c>
      <c r="C128" s="33" t="s">
        <v>169</v>
      </c>
      <c r="D128" s="61" t="s">
        <v>74</v>
      </c>
      <c r="E128" s="35" t="s">
        <v>74</v>
      </c>
      <c r="F128" s="35" t="s">
        <v>74</v>
      </c>
      <c r="G128" s="35" t="s">
        <v>74</v>
      </c>
      <c r="H128" s="61" t="s">
        <v>74</v>
      </c>
      <c r="I128" s="35" t="s">
        <v>74</v>
      </c>
      <c r="J128" s="62" t="s">
        <v>74</v>
      </c>
      <c r="L128" s="28" t="s">
        <v>175</v>
      </c>
      <c r="M128" s="28" t="s">
        <v>175</v>
      </c>
      <c r="N128" s="27" t="s">
        <v>74</v>
      </c>
      <c r="O128" s="27" t="s">
        <v>74</v>
      </c>
      <c r="P128" s="69" t="s">
        <v>74</v>
      </c>
      <c r="Q128" s="69" t="s">
        <v>74</v>
      </c>
      <c r="R128" s="69" t="s">
        <v>74</v>
      </c>
    </row>
    <row r="129" spans="1:19" s="3" customFormat="1" x14ac:dyDescent="0.3">
      <c r="A129" s="35">
        <v>0</v>
      </c>
      <c r="B129" s="35" t="s">
        <v>161</v>
      </c>
      <c r="C129" s="35" t="s">
        <v>161</v>
      </c>
      <c r="D129" s="61" t="s">
        <v>74</v>
      </c>
      <c r="E129" s="35" t="s">
        <v>74</v>
      </c>
      <c r="F129" s="35" t="s">
        <v>74</v>
      </c>
      <c r="G129" s="35" t="s">
        <v>74</v>
      </c>
      <c r="H129" s="61" t="s">
        <v>74</v>
      </c>
      <c r="I129" s="35" t="s">
        <v>74</v>
      </c>
      <c r="J129" s="35" t="s">
        <v>74</v>
      </c>
      <c r="K129" s="19"/>
      <c r="L129" s="28" t="s">
        <v>175</v>
      </c>
      <c r="M129" s="28" t="s">
        <v>175</v>
      </c>
      <c r="N129" s="27" t="s">
        <v>74</v>
      </c>
      <c r="O129" s="27" t="s">
        <v>74</v>
      </c>
      <c r="P129" s="69" t="s">
        <v>74</v>
      </c>
      <c r="Q129" s="69" t="s">
        <v>74</v>
      </c>
      <c r="R129" s="69" t="s">
        <v>74</v>
      </c>
      <c r="S129" s="38"/>
    </row>
    <row r="130" spans="1:19" x14ac:dyDescent="0.3">
      <c r="A130" s="9">
        <v>9300</v>
      </c>
      <c r="B130" s="2" t="s">
        <v>32</v>
      </c>
      <c r="C130" s="2" t="s">
        <v>129</v>
      </c>
      <c r="D130" s="10">
        <v>1</v>
      </c>
      <c r="E130" s="23">
        <f>1000/D130</f>
        <v>1000</v>
      </c>
      <c r="F130" s="25" t="s">
        <v>74</v>
      </c>
      <c r="G130" s="25" t="s">
        <v>74</v>
      </c>
      <c r="H130" s="63">
        <v>1</v>
      </c>
      <c r="I130" s="64">
        <v>1000</v>
      </c>
      <c r="J130" s="63">
        <v>1</v>
      </c>
      <c r="L130" s="28" t="s">
        <v>175</v>
      </c>
      <c r="M130" s="28" t="s">
        <v>175</v>
      </c>
      <c r="N130" s="27" t="s">
        <v>74</v>
      </c>
      <c r="O130" s="27" t="s">
        <v>74</v>
      </c>
      <c r="P130" s="69" t="s">
        <v>0</v>
      </c>
      <c r="Q130" s="69" t="s">
        <v>45</v>
      </c>
      <c r="R130" s="63" t="s">
        <v>46</v>
      </c>
    </row>
    <row r="131" spans="1:19" x14ac:dyDescent="0.3">
      <c r="A131" s="43">
        <v>0</v>
      </c>
      <c r="B131" s="43" t="s">
        <v>170</v>
      </c>
      <c r="C131" s="43" t="s">
        <v>170</v>
      </c>
      <c r="D131" s="5" t="s">
        <v>74</v>
      </c>
      <c r="E131" s="6" t="s">
        <v>74</v>
      </c>
      <c r="F131" s="58" t="s">
        <v>74</v>
      </c>
      <c r="G131" s="58" t="s">
        <v>74</v>
      </c>
      <c r="H131" s="59" t="s">
        <v>74</v>
      </c>
      <c r="I131" s="60" t="s">
        <v>74</v>
      </c>
      <c r="J131" s="60" t="s">
        <v>74</v>
      </c>
      <c r="L131" s="28" t="s">
        <v>74</v>
      </c>
      <c r="M131" s="28" t="s">
        <v>74</v>
      </c>
      <c r="N131" s="27" t="s">
        <v>74</v>
      </c>
      <c r="O131" s="27" t="s">
        <v>74</v>
      </c>
      <c r="P131" s="69" t="s">
        <v>74</v>
      </c>
      <c r="Q131" s="69" t="s">
        <v>74</v>
      </c>
      <c r="R131" s="69" t="s">
        <v>74</v>
      </c>
    </row>
    <row r="132" spans="1:19" s="3" customFormat="1" x14ac:dyDescent="0.3">
      <c r="A132" s="43">
        <v>0</v>
      </c>
      <c r="B132" s="43" t="s">
        <v>162</v>
      </c>
      <c r="C132" s="43" t="s">
        <v>162</v>
      </c>
      <c r="D132" s="5" t="s">
        <v>74</v>
      </c>
      <c r="E132" s="6" t="s">
        <v>74</v>
      </c>
      <c r="F132" s="58" t="s">
        <v>74</v>
      </c>
      <c r="G132" s="58" t="s">
        <v>74</v>
      </c>
      <c r="H132" s="59" t="s">
        <v>74</v>
      </c>
      <c r="I132" s="60" t="s">
        <v>74</v>
      </c>
      <c r="J132" s="60" t="s">
        <v>74</v>
      </c>
      <c r="K132" s="19"/>
      <c r="L132" s="28" t="s">
        <v>74</v>
      </c>
      <c r="M132" s="28" t="s">
        <v>74</v>
      </c>
      <c r="N132" s="27" t="s">
        <v>74</v>
      </c>
      <c r="O132" s="27" t="s">
        <v>74</v>
      </c>
      <c r="P132" s="69" t="s">
        <v>74</v>
      </c>
      <c r="Q132" s="69" t="s">
        <v>74</v>
      </c>
      <c r="R132" s="69" t="s">
        <v>74</v>
      </c>
      <c r="S132" s="38"/>
    </row>
    <row r="133" spans="1:19" x14ac:dyDescent="0.3">
      <c r="A133" s="43">
        <v>0</v>
      </c>
      <c r="B133" s="43" t="s">
        <v>163</v>
      </c>
      <c r="C133" s="43" t="s">
        <v>163</v>
      </c>
      <c r="D133" s="5" t="s">
        <v>74</v>
      </c>
      <c r="E133" s="6" t="s">
        <v>74</v>
      </c>
      <c r="F133" s="58" t="s">
        <v>74</v>
      </c>
      <c r="G133" s="58" t="s">
        <v>74</v>
      </c>
      <c r="H133" s="59" t="s">
        <v>74</v>
      </c>
      <c r="I133" s="60" t="s">
        <v>74</v>
      </c>
      <c r="J133" s="60" t="s">
        <v>74</v>
      </c>
      <c r="L133" s="28" t="s">
        <v>74</v>
      </c>
      <c r="M133" s="28" t="s">
        <v>74</v>
      </c>
      <c r="N133" s="27" t="s">
        <v>74</v>
      </c>
      <c r="O133" s="27" t="s">
        <v>74</v>
      </c>
      <c r="P133" s="69" t="s">
        <v>74</v>
      </c>
      <c r="Q133" s="69" t="s">
        <v>74</v>
      </c>
      <c r="R133" s="69" t="s">
        <v>74</v>
      </c>
    </row>
    <row r="134" spans="1:19" s="3" customFormat="1" x14ac:dyDescent="0.3">
      <c r="A134" s="67">
        <v>0</v>
      </c>
      <c r="B134" s="14" t="s">
        <v>171</v>
      </c>
      <c r="C134" s="2" t="s">
        <v>172</v>
      </c>
      <c r="D134" s="5" t="s">
        <v>74</v>
      </c>
      <c r="E134" s="6" t="s">
        <v>74</v>
      </c>
      <c r="F134" s="58" t="s">
        <v>74</v>
      </c>
      <c r="G134" s="58" t="s">
        <v>74</v>
      </c>
      <c r="H134" s="59" t="s">
        <v>74</v>
      </c>
      <c r="I134" s="60" t="s">
        <v>74</v>
      </c>
      <c r="J134" s="60" t="s">
        <v>74</v>
      </c>
      <c r="K134" s="19"/>
      <c r="L134" s="28" t="s">
        <v>175</v>
      </c>
      <c r="M134" s="28" t="s">
        <v>175</v>
      </c>
      <c r="N134" s="27" t="s">
        <v>74</v>
      </c>
      <c r="O134" s="27" t="s">
        <v>74</v>
      </c>
      <c r="P134" s="69" t="s">
        <v>74</v>
      </c>
      <c r="Q134" s="69" t="s">
        <v>74</v>
      </c>
      <c r="R134" s="69" t="s">
        <v>74</v>
      </c>
    </row>
    <row r="135" spans="1:19" s="3" customFormat="1" x14ac:dyDescent="0.3">
      <c r="A135" s="67">
        <v>0</v>
      </c>
      <c r="B135" s="14" t="s">
        <v>173</v>
      </c>
      <c r="C135" s="2" t="s">
        <v>174</v>
      </c>
      <c r="D135" s="5" t="s">
        <v>74</v>
      </c>
      <c r="E135" s="6" t="s">
        <v>74</v>
      </c>
      <c r="F135" s="58" t="s">
        <v>74</v>
      </c>
      <c r="G135" s="58" t="s">
        <v>74</v>
      </c>
      <c r="H135" s="59" t="s">
        <v>74</v>
      </c>
      <c r="I135" s="60" t="s">
        <v>74</v>
      </c>
      <c r="J135" s="60" t="s">
        <v>74</v>
      </c>
      <c r="K135" s="19"/>
      <c r="L135" s="28" t="s">
        <v>175</v>
      </c>
      <c r="M135" s="28" t="s">
        <v>175</v>
      </c>
      <c r="N135" s="27" t="s">
        <v>74</v>
      </c>
      <c r="O135" s="27" t="s">
        <v>74</v>
      </c>
      <c r="P135" s="69" t="s">
        <v>74</v>
      </c>
      <c r="Q135" s="69" t="s">
        <v>74</v>
      </c>
      <c r="R135" s="69" t="s">
        <v>74</v>
      </c>
    </row>
    <row r="136" spans="1:19" x14ac:dyDescent="0.3">
      <c r="A136" s="9">
        <v>0</v>
      </c>
      <c r="B136" s="14" t="s">
        <v>145</v>
      </c>
      <c r="C136" s="2" t="s">
        <v>147</v>
      </c>
      <c r="D136" s="5" t="s">
        <v>74</v>
      </c>
      <c r="E136" s="6" t="s">
        <v>74</v>
      </c>
      <c r="F136" s="58" t="s">
        <v>74</v>
      </c>
      <c r="G136" s="58" t="s">
        <v>74</v>
      </c>
      <c r="H136" s="59" t="s">
        <v>74</v>
      </c>
      <c r="I136" s="60" t="s">
        <v>74</v>
      </c>
      <c r="J136" s="60" t="s">
        <v>74</v>
      </c>
      <c r="L136" s="28" t="s">
        <v>175</v>
      </c>
      <c r="M136" s="28" t="s">
        <v>175</v>
      </c>
      <c r="N136" s="27" t="s">
        <v>74</v>
      </c>
      <c r="O136" s="27" t="s">
        <v>74</v>
      </c>
      <c r="P136" s="69" t="s">
        <v>74</v>
      </c>
      <c r="Q136" s="69" t="s">
        <v>74</v>
      </c>
      <c r="R136" s="69" t="s">
        <v>74</v>
      </c>
    </row>
    <row r="137" spans="1:19" x14ac:dyDescent="0.3">
      <c r="A137" s="9">
        <v>0</v>
      </c>
      <c r="B137" s="14" t="s">
        <v>146</v>
      </c>
      <c r="C137" s="3" t="s">
        <v>148</v>
      </c>
      <c r="D137" s="5" t="s">
        <v>74</v>
      </c>
      <c r="E137" s="6" t="s">
        <v>74</v>
      </c>
      <c r="F137" s="58" t="s">
        <v>74</v>
      </c>
      <c r="G137" s="58" t="s">
        <v>74</v>
      </c>
      <c r="H137" s="59" t="s">
        <v>74</v>
      </c>
      <c r="I137" s="60" t="s">
        <v>74</v>
      </c>
      <c r="J137" s="60" t="s">
        <v>74</v>
      </c>
      <c r="L137" s="28" t="s">
        <v>175</v>
      </c>
      <c r="M137" s="28" t="s">
        <v>175</v>
      </c>
      <c r="N137" s="27" t="s">
        <v>74</v>
      </c>
      <c r="O137" s="27" t="s">
        <v>74</v>
      </c>
      <c r="P137" s="69" t="s">
        <v>74</v>
      </c>
      <c r="Q137" s="69" t="s">
        <v>74</v>
      </c>
      <c r="R137" s="69" t="s">
        <v>74</v>
      </c>
    </row>
    <row r="138" spans="1:19" x14ac:dyDescent="0.3">
      <c r="A138" s="9" t="s">
        <v>2</v>
      </c>
    </row>
    <row r="139" spans="1:19" s="3" customFormat="1" x14ac:dyDescent="0.3">
      <c r="A139" s="14">
        <f>IF(LEN(C139)=17,LEFT(C139,4)+(B139-1)/(DATE(LEFT(C139,4)+1,1,1)-DATE(LEFT(C139,4),1,1)),"BAD DATE FORMAT")</f>
        <v>2024.5819691105039</v>
      </c>
      <c r="B139" s="15">
        <f>DATE(LEFT(C139,4),RIGHT(LEFT(C139,7),2),RIGHT(LEFT(C139,10),2))-DATE(LEFT(C139,4),1,1)+1+(RIGHT(LEFT(C139,14),2)*60+RIGHT(C139,2))/1440</f>
        <v>214.00069444444443</v>
      </c>
      <c r="C139" s="3" t="s">
        <v>179</v>
      </c>
      <c r="D139" s="10"/>
      <c r="E139" s="23"/>
      <c r="F139" s="25"/>
      <c r="G139" s="25"/>
      <c r="H139" s="63"/>
      <c r="I139" s="63"/>
      <c r="J139" s="63"/>
      <c r="K139" s="19"/>
      <c r="L139" s="28"/>
      <c r="M139" s="28"/>
      <c r="N139" s="27"/>
      <c r="O139" s="27"/>
      <c r="P139" s="69"/>
      <c r="Q139" s="69"/>
      <c r="R139" s="63"/>
    </row>
    <row r="140" spans="1:19" s="3" customFormat="1" x14ac:dyDescent="0.3">
      <c r="A140" s="43">
        <v>0</v>
      </c>
      <c r="B140" s="43" t="s">
        <v>159</v>
      </c>
      <c r="C140" s="43" t="s">
        <v>159</v>
      </c>
      <c r="D140" s="5" t="s">
        <v>74</v>
      </c>
      <c r="E140" s="6" t="s">
        <v>74</v>
      </c>
      <c r="F140" s="58" t="s">
        <v>74</v>
      </c>
      <c r="G140" s="58" t="s">
        <v>74</v>
      </c>
      <c r="H140" s="59" t="s">
        <v>74</v>
      </c>
      <c r="I140" s="60" t="s">
        <v>74</v>
      </c>
      <c r="J140" s="60" t="s">
        <v>74</v>
      </c>
      <c r="K140" s="19"/>
      <c r="L140" s="28" t="s">
        <v>74</v>
      </c>
      <c r="M140" s="28" t="s">
        <v>74</v>
      </c>
      <c r="N140" s="27" t="s">
        <v>74</v>
      </c>
      <c r="O140" s="27" t="s">
        <v>74</v>
      </c>
      <c r="P140" s="69" t="s">
        <v>74</v>
      </c>
      <c r="Q140" s="69" t="s">
        <v>74</v>
      </c>
      <c r="R140" s="69" t="s">
        <v>74</v>
      </c>
    </row>
    <row r="141" spans="1:19" s="3" customFormat="1" x14ac:dyDescent="0.3">
      <c r="A141" s="43">
        <v>0</v>
      </c>
      <c r="B141" s="43" t="s">
        <v>160</v>
      </c>
      <c r="C141" s="43" t="s">
        <v>160</v>
      </c>
      <c r="D141" s="5" t="s">
        <v>74</v>
      </c>
      <c r="E141" s="6" t="s">
        <v>74</v>
      </c>
      <c r="F141" s="58" t="s">
        <v>74</v>
      </c>
      <c r="G141" s="58" t="s">
        <v>74</v>
      </c>
      <c r="H141" s="59" t="s">
        <v>74</v>
      </c>
      <c r="I141" s="60" t="s">
        <v>74</v>
      </c>
      <c r="J141" s="60" t="s">
        <v>74</v>
      </c>
      <c r="K141" s="19"/>
      <c r="L141" s="28" t="s">
        <v>74</v>
      </c>
      <c r="M141" s="28" t="s">
        <v>74</v>
      </c>
      <c r="N141" s="27" t="s">
        <v>74</v>
      </c>
      <c r="O141" s="27" t="s">
        <v>74</v>
      </c>
      <c r="P141" s="69" t="s">
        <v>74</v>
      </c>
      <c r="Q141" s="69" t="s">
        <v>74</v>
      </c>
      <c r="R141" s="69" t="s">
        <v>74</v>
      </c>
    </row>
    <row r="142" spans="1:19" s="3" customFormat="1" x14ac:dyDescent="0.3">
      <c r="A142" s="43">
        <v>1000</v>
      </c>
      <c r="B142" s="43" t="s">
        <v>180</v>
      </c>
      <c r="C142" s="43" t="s">
        <v>180</v>
      </c>
      <c r="D142" s="5">
        <v>1</v>
      </c>
      <c r="E142" s="6">
        <f>1000/D142</f>
        <v>1000</v>
      </c>
      <c r="F142" s="58" t="s">
        <v>74</v>
      </c>
      <c r="G142" s="58" t="s">
        <v>74</v>
      </c>
      <c r="H142" s="59">
        <f>1000/I142</f>
        <v>116.93034459372552</v>
      </c>
      <c r="I142" s="60">
        <v>8.5520999999999994</v>
      </c>
      <c r="J142" s="60">
        <v>2.5210182294407226</v>
      </c>
      <c r="K142" s="20"/>
      <c r="L142" s="28" t="s">
        <v>175</v>
      </c>
      <c r="M142" s="28" t="s">
        <v>175</v>
      </c>
      <c r="N142" s="27" t="s">
        <v>74</v>
      </c>
      <c r="O142" s="27" t="s">
        <v>74</v>
      </c>
      <c r="P142" s="69" t="s">
        <v>0</v>
      </c>
      <c r="Q142" s="69" t="s">
        <v>192</v>
      </c>
      <c r="R142" s="69" t="str">
        <f>Q142</f>
        <v>CMP11(151961).xlsx \ R(2024.5)</v>
      </c>
      <c r="S142" s="38"/>
    </row>
    <row r="143" spans="1:19" s="3" customFormat="1" x14ac:dyDescent="0.3">
      <c r="A143" s="43">
        <v>0</v>
      </c>
      <c r="B143" s="43" t="s">
        <v>182</v>
      </c>
      <c r="C143" s="43" t="s">
        <v>182</v>
      </c>
      <c r="D143" s="5" t="s">
        <v>74</v>
      </c>
      <c r="E143" s="6" t="s">
        <v>74</v>
      </c>
      <c r="F143" s="58" t="s">
        <v>74</v>
      </c>
      <c r="G143" s="58" t="s">
        <v>74</v>
      </c>
      <c r="H143" s="59" t="s">
        <v>74</v>
      </c>
      <c r="I143" s="60" t="s">
        <v>74</v>
      </c>
      <c r="J143" s="60" t="s">
        <v>74</v>
      </c>
      <c r="K143" s="20"/>
      <c r="L143" s="28" t="s">
        <v>175</v>
      </c>
      <c r="M143" s="28" t="s">
        <v>175</v>
      </c>
      <c r="N143" s="27" t="s">
        <v>74</v>
      </c>
      <c r="O143" s="27" t="s">
        <v>74</v>
      </c>
      <c r="P143" s="69" t="s">
        <v>74</v>
      </c>
      <c r="Q143" s="69" t="s">
        <v>74</v>
      </c>
      <c r="R143" s="69" t="s">
        <v>74</v>
      </c>
      <c r="S143" s="38"/>
    </row>
    <row r="144" spans="1:19" s="3" customFormat="1" x14ac:dyDescent="0.3">
      <c r="A144" s="43">
        <v>0</v>
      </c>
      <c r="B144" s="43" t="s">
        <v>183</v>
      </c>
      <c r="C144" s="43" t="s">
        <v>183</v>
      </c>
      <c r="D144" s="5">
        <v>1</v>
      </c>
      <c r="E144" s="6">
        <f>1000/D144</f>
        <v>1000</v>
      </c>
      <c r="F144" s="58" t="s">
        <v>74</v>
      </c>
      <c r="G144" s="58" t="s">
        <v>74</v>
      </c>
      <c r="H144" s="59">
        <f>1000/I144</f>
        <v>116.93034459372552</v>
      </c>
      <c r="I144" s="60">
        <f>I142</f>
        <v>8.5520999999999994</v>
      </c>
      <c r="J144" s="60">
        <f>J142</f>
        <v>2.5210182294407226</v>
      </c>
      <c r="K144" s="20"/>
      <c r="L144" s="28" t="s">
        <v>175</v>
      </c>
      <c r="M144" s="28" t="s">
        <v>175</v>
      </c>
      <c r="N144" s="27" t="s">
        <v>74</v>
      </c>
      <c r="O144" s="27" t="s">
        <v>74</v>
      </c>
      <c r="P144" s="69" t="s">
        <v>74</v>
      </c>
      <c r="Q144" s="69" t="s">
        <v>74</v>
      </c>
      <c r="R144" s="69" t="s">
        <v>74</v>
      </c>
      <c r="S144" s="38"/>
    </row>
    <row r="145" spans="1:19" s="3" customFormat="1" x14ac:dyDescent="0.3">
      <c r="A145" s="43">
        <v>0</v>
      </c>
      <c r="B145" s="43" t="s">
        <v>184</v>
      </c>
      <c r="C145" s="43" t="s">
        <v>184</v>
      </c>
      <c r="D145" s="5" t="s">
        <v>74</v>
      </c>
      <c r="E145" s="6" t="s">
        <v>74</v>
      </c>
      <c r="F145" s="58" t="s">
        <v>74</v>
      </c>
      <c r="G145" s="58" t="s">
        <v>74</v>
      </c>
      <c r="H145" s="59" t="s">
        <v>74</v>
      </c>
      <c r="I145" s="60" t="s">
        <v>74</v>
      </c>
      <c r="J145" s="60" t="s">
        <v>74</v>
      </c>
      <c r="K145" s="20"/>
      <c r="L145" s="28" t="s">
        <v>175</v>
      </c>
      <c r="M145" s="28" t="s">
        <v>175</v>
      </c>
      <c r="N145" s="27" t="s">
        <v>74</v>
      </c>
      <c r="O145" s="27" t="s">
        <v>74</v>
      </c>
      <c r="P145" s="69" t="s">
        <v>74</v>
      </c>
      <c r="Q145" s="69" t="s">
        <v>74</v>
      </c>
      <c r="R145" s="69" t="s">
        <v>74</v>
      </c>
      <c r="S145" s="38"/>
    </row>
    <row r="146" spans="1:19" s="3" customFormat="1" x14ac:dyDescent="0.3">
      <c r="A146" s="43">
        <v>2010</v>
      </c>
      <c r="B146" s="43" t="s">
        <v>188</v>
      </c>
      <c r="C146" s="43" t="s">
        <v>188</v>
      </c>
      <c r="D146" s="5">
        <v>1</v>
      </c>
      <c r="E146" s="6">
        <f>1000/D146</f>
        <v>1000</v>
      </c>
      <c r="F146" s="58" t="s">
        <v>74</v>
      </c>
      <c r="G146" s="58" t="s">
        <v>74</v>
      </c>
      <c r="H146" s="59">
        <f>1000/I146</f>
        <v>138.66932911778574</v>
      </c>
      <c r="I146" s="60">
        <v>7.2114000000000003</v>
      </c>
      <c r="J146" s="60">
        <v>0.92975468817938656</v>
      </c>
      <c r="K146" s="20"/>
      <c r="L146" s="28" t="s">
        <v>175</v>
      </c>
      <c r="M146" s="28" t="s">
        <v>175</v>
      </c>
      <c r="N146" s="27" t="s">
        <v>74</v>
      </c>
      <c r="O146" s="27" t="s">
        <v>74</v>
      </c>
      <c r="P146" s="69" t="s">
        <v>0</v>
      </c>
      <c r="Q146" s="69" t="s">
        <v>193</v>
      </c>
      <c r="R146" s="69" t="str">
        <f>Q146</f>
        <v>NIP(27087E6).xlsx \ R(2024.5)</v>
      </c>
      <c r="S146" s="38"/>
    </row>
    <row r="147" spans="1:19" s="3" customFormat="1" x14ac:dyDescent="0.3">
      <c r="A147" s="43">
        <v>0</v>
      </c>
      <c r="B147" s="43" t="s">
        <v>189</v>
      </c>
      <c r="C147" s="43" t="s">
        <v>189</v>
      </c>
      <c r="D147" s="5" t="s">
        <v>74</v>
      </c>
      <c r="E147" s="6" t="s">
        <v>74</v>
      </c>
      <c r="F147" s="58" t="s">
        <v>74</v>
      </c>
      <c r="G147" s="58" t="s">
        <v>74</v>
      </c>
      <c r="H147" s="59" t="s">
        <v>74</v>
      </c>
      <c r="I147" s="60" t="s">
        <v>74</v>
      </c>
      <c r="J147" s="60" t="s">
        <v>74</v>
      </c>
      <c r="K147" s="20"/>
      <c r="L147" s="28" t="s">
        <v>175</v>
      </c>
      <c r="M147" s="28" t="s">
        <v>175</v>
      </c>
      <c r="N147" s="27" t="s">
        <v>74</v>
      </c>
      <c r="O147" s="27" t="s">
        <v>74</v>
      </c>
      <c r="P147" s="69" t="s">
        <v>74</v>
      </c>
      <c r="Q147" s="69" t="s">
        <v>74</v>
      </c>
      <c r="R147" s="69" t="s">
        <v>74</v>
      </c>
      <c r="S147" s="38"/>
    </row>
    <row r="148" spans="1:19" s="3" customFormat="1" x14ac:dyDescent="0.3">
      <c r="A148" s="43">
        <v>0</v>
      </c>
      <c r="B148" s="43" t="s">
        <v>190</v>
      </c>
      <c r="C148" s="43" t="s">
        <v>190</v>
      </c>
      <c r="D148" s="5">
        <v>1</v>
      </c>
      <c r="E148" s="6">
        <f>1000/D148</f>
        <v>1000</v>
      </c>
      <c r="F148" s="58" t="s">
        <v>74</v>
      </c>
      <c r="G148" s="58" t="s">
        <v>74</v>
      </c>
      <c r="H148" s="59">
        <f>1000/I148</f>
        <v>138.66932911778574</v>
      </c>
      <c r="I148" s="60">
        <f>I146</f>
        <v>7.2114000000000003</v>
      </c>
      <c r="J148" s="60">
        <f>J146</f>
        <v>0.92975468817938656</v>
      </c>
      <c r="K148" s="19"/>
      <c r="L148" s="28" t="s">
        <v>175</v>
      </c>
      <c r="M148" s="28" t="s">
        <v>175</v>
      </c>
      <c r="N148" s="27" t="s">
        <v>74</v>
      </c>
      <c r="O148" s="27" t="s">
        <v>74</v>
      </c>
      <c r="P148" s="69" t="s">
        <v>74</v>
      </c>
      <c r="Q148" s="69" t="s">
        <v>74</v>
      </c>
      <c r="R148" s="69" t="s">
        <v>74</v>
      </c>
      <c r="S148" s="38"/>
    </row>
    <row r="149" spans="1:19" s="3" customFormat="1" x14ac:dyDescent="0.3">
      <c r="A149" s="43">
        <v>0</v>
      </c>
      <c r="B149" s="43" t="s">
        <v>191</v>
      </c>
      <c r="C149" s="43" t="s">
        <v>191</v>
      </c>
      <c r="D149" s="5" t="s">
        <v>74</v>
      </c>
      <c r="E149" s="6" t="s">
        <v>74</v>
      </c>
      <c r="F149" s="58" t="s">
        <v>74</v>
      </c>
      <c r="G149" s="58" t="s">
        <v>74</v>
      </c>
      <c r="H149" s="59" t="s">
        <v>74</v>
      </c>
      <c r="I149" s="60" t="s">
        <v>74</v>
      </c>
      <c r="J149" s="60" t="s">
        <v>74</v>
      </c>
      <c r="K149" s="20"/>
      <c r="L149" s="28" t="s">
        <v>175</v>
      </c>
      <c r="M149" s="28" t="s">
        <v>175</v>
      </c>
      <c r="N149" s="27" t="s">
        <v>74</v>
      </c>
      <c r="O149" s="27" t="s">
        <v>74</v>
      </c>
      <c r="P149" s="69" t="s">
        <v>74</v>
      </c>
      <c r="Q149" s="69" t="s">
        <v>74</v>
      </c>
      <c r="R149" s="69" t="s">
        <v>74</v>
      </c>
      <c r="S149" s="38"/>
    </row>
    <row r="150" spans="1:19" s="3" customFormat="1" x14ac:dyDescent="0.3">
      <c r="A150" s="43">
        <v>3000</v>
      </c>
      <c r="B150" s="43" t="s">
        <v>181</v>
      </c>
      <c r="C150" s="43" t="s">
        <v>181</v>
      </c>
      <c r="D150" s="5">
        <v>1</v>
      </c>
      <c r="E150" s="6">
        <f>1000/D150</f>
        <v>1000</v>
      </c>
      <c r="F150" s="58" t="s">
        <v>74</v>
      </c>
      <c r="G150" s="58" t="s">
        <v>74</v>
      </c>
      <c r="H150" s="59">
        <f>1000/I150</f>
        <v>115.11056369643042</v>
      </c>
      <c r="I150" s="60">
        <v>8.6873000000000005</v>
      </c>
      <c r="J150" s="60">
        <v>2.4150196263511101</v>
      </c>
      <c r="K150" s="19"/>
      <c r="L150" s="28" t="s">
        <v>175</v>
      </c>
      <c r="M150" s="28" t="s">
        <v>175</v>
      </c>
      <c r="N150" s="27" t="s">
        <v>74</v>
      </c>
      <c r="O150" s="27" t="s">
        <v>74</v>
      </c>
      <c r="P150" s="69" t="s">
        <v>0</v>
      </c>
      <c r="Q150" s="69" t="s">
        <v>194</v>
      </c>
      <c r="R150" s="69" t="str">
        <f>Q150</f>
        <v>CMP11(151960).xlsx \ R(2024.5)</v>
      </c>
      <c r="S150" s="38"/>
    </row>
    <row r="151" spans="1:19" s="3" customFormat="1" x14ac:dyDescent="0.3">
      <c r="A151" s="43">
        <v>0</v>
      </c>
      <c r="B151" s="43" t="s">
        <v>185</v>
      </c>
      <c r="C151" s="43" t="s">
        <v>185</v>
      </c>
      <c r="D151" s="5" t="s">
        <v>74</v>
      </c>
      <c r="E151" s="6" t="s">
        <v>74</v>
      </c>
      <c r="F151" s="58" t="s">
        <v>74</v>
      </c>
      <c r="G151" s="58" t="s">
        <v>74</v>
      </c>
      <c r="H151" s="59" t="s">
        <v>74</v>
      </c>
      <c r="I151" s="60" t="s">
        <v>74</v>
      </c>
      <c r="J151" s="60" t="s">
        <v>74</v>
      </c>
      <c r="K151" s="19"/>
      <c r="L151" s="28" t="s">
        <v>175</v>
      </c>
      <c r="M151" s="28" t="s">
        <v>175</v>
      </c>
      <c r="N151" s="27" t="s">
        <v>74</v>
      </c>
      <c r="O151" s="27" t="s">
        <v>74</v>
      </c>
      <c r="P151" s="69" t="s">
        <v>74</v>
      </c>
      <c r="Q151" s="69" t="s">
        <v>74</v>
      </c>
      <c r="R151" s="69" t="s">
        <v>74</v>
      </c>
    </row>
    <row r="152" spans="1:19" s="3" customFormat="1" x14ac:dyDescent="0.3">
      <c r="A152" s="43">
        <v>0</v>
      </c>
      <c r="B152" s="43" t="s">
        <v>186</v>
      </c>
      <c r="C152" s="43" t="s">
        <v>186</v>
      </c>
      <c r="D152" s="5">
        <v>1</v>
      </c>
      <c r="E152" s="6">
        <f>1000/D152</f>
        <v>1000</v>
      </c>
      <c r="F152" s="58" t="s">
        <v>74</v>
      </c>
      <c r="G152" s="58" t="s">
        <v>74</v>
      </c>
      <c r="H152" s="59">
        <f>1000/I152</f>
        <v>115.11056369643042</v>
      </c>
      <c r="I152" s="60">
        <f>I150</f>
        <v>8.6873000000000005</v>
      </c>
      <c r="J152" s="60">
        <f>J150</f>
        <v>2.4150196263511101</v>
      </c>
      <c r="K152" s="19"/>
      <c r="L152" s="28" t="s">
        <v>175</v>
      </c>
      <c r="M152" s="28" t="s">
        <v>175</v>
      </c>
      <c r="N152" s="27" t="s">
        <v>74</v>
      </c>
      <c r="O152" s="27" t="s">
        <v>74</v>
      </c>
      <c r="P152" s="69" t="s">
        <v>74</v>
      </c>
      <c r="Q152" s="69" t="s">
        <v>74</v>
      </c>
      <c r="R152" s="69" t="s">
        <v>74</v>
      </c>
    </row>
    <row r="153" spans="1:19" x14ac:dyDescent="0.3">
      <c r="A153" s="43">
        <v>0</v>
      </c>
      <c r="B153" s="43" t="s">
        <v>187</v>
      </c>
      <c r="C153" s="43" t="s">
        <v>187</v>
      </c>
      <c r="D153" s="5" t="s">
        <v>74</v>
      </c>
      <c r="E153" s="6" t="s">
        <v>74</v>
      </c>
      <c r="F153" s="58" t="s">
        <v>74</v>
      </c>
      <c r="G153" s="58" t="s">
        <v>74</v>
      </c>
      <c r="H153" s="59" t="s">
        <v>74</v>
      </c>
      <c r="I153" s="60" t="s">
        <v>74</v>
      </c>
      <c r="J153" s="60" t="s">
        <v>74</v>
      </c>
      <c r="L153" s="28" t="s">
        <v>175</v>
      </c>
      <c r="M153" s="28" t="s">
        <v>175</v>
      </c>
      <c r="N153" s="27" t="s">
        <v>74</v>
      </c>
      <c r="O153" s="27" t="s">
        <v>74</v>
      </c>
      <c r="P153" s="69" t="s">
        <v>74</v>
      </c>
      <c r="Q153" s="69" t="s">
        <v>74</v>
      </c>
      <c r="R153" s="69" t="s">
        <v>74</v>
      </c>
    </row>
    <row r="154" spans="1:19" s="3" customFormat="1" x14ac:dyDescent="0.3">
      <c r="A154" s="43">
        <v>0</v>
      </c>
      <c r="B154" s="43" t="s">
        <v>161</v>
      </c>
      <c r="C154" s="43" t="s">
        <v>161</v>
      </c>
      <c r="D154" s="5" t="s">
        <v>74</v>
      </c>
      <c r="E154" s="6" t="s">
        <v>74</v>
      </c>
      <c r="F154" s="58" t="s">
        <v>74</v>
      </c>
      <c r="G154" s="58" t="s">
        <v>74</v>
      </c>
      <c r="H154" s="59" t="s">
        <v>74</v>
      </c>
      <c r="I154" s="60" t="s">
        <v>74</v>
      </c>
      <c r="J154" s="60" t="s">
        <v>74</v>
      </c>
      <c r="K154" s="19"/>
      <c r="L154" s="28" t="s">
        <v>175</v>
      </c>
      <c r="M154" s="28" t="s">
        <v>175</v>
      </c>
      <c r="N154" s="27" t="s">
        <v>74</v>
      </c>
      <c r="O154" s="27" t="s">
        <v>74</v>
      </c>
      <c r="P154" s="69" t="s">
        <v>74</v>
      </c>
      <c r="Q154" s="69" t="s">
        <v>74</v>
      </c>
      <c r="R154" s="69" t="s">
        <v>74</v>
      </c>
      <c r="S154" s="38"/>
    </row>
    <row r="155" spans="1:19" x14ac:dyDescent="0.3">
      <c r="A155" s="43">
        <v>9300</v>
      </c>
      <c r="B155" s="43" t="s">
        <v>32</v>
      </c>
      <c r="C155" s="43" t="s">
        <v>129</v>
      </c>
      <c r="D155" s="5">
        <v>1</v>
      </c>
      <c r="E155" s="6">
        <f>1000/D155</f>
        <v>1000</v>
      </c>
      <c r="F155" s="58" t="s">
        <v>74</v>
      </c>
      <c r="G155" s="58" t="s">
        <v>74</v>
      </c>
      <c r="H155" s="59">
        <v>1</v>
      </c>
      <c r="I155" s="60">
        <v>1000</v>
      </c>
      <c r="J155" s="60">
        <v>1</v>
      </c>
      <c r="L155" s="28" t="s">
        <v>175</v>
      </c>
      <c r="M155" s="28" t="s">
        <v>175</v>
      </c>
      <c r="N155" s="27" t="s">
        <v>74</v>
      </c>
      <c r="O155" s="27" t="s">
        <v>74</v>
      </c>
      <c r="P155" s="69" t="s">
        <v>0</v>
      </c>
      <c r="Q155" s="69" t="s">
        <v>45</v>
      </c>
      <c r="R155" s="63" t="s">
        <v>46</v>
      </c>
    </row>
    <row r="156" spans="1:19" x14ac:dyDescent="0.3">
      <c r="A156" s="43">
        <v>0</v>
      </c>
      <c r="B156" s="43" t="s">
        <v>170</v>
      </c>
      <c r="C156" s="43" t="s">
        <v>170</v>
      </c>
      <c r="D156" s="5" t="s">
        <v>74</v>
      </c>
      <c r="E156" s="6" t="s">
        <v>74</v>
      </c>
      <c r="F156" s="58" t="s">
        <v>74</v>
      </c>
      <c r="G156" s="58" t="s">
        <v>74</v>
      </c>
      <c r="H156" s="59" t="s">
        <v>74</v>
      </c>
      <c r="I156" s="60" t="s">
        <v>74</v>
      </c>
      <c r="J156" s="60" t="s">
        <v>74</v>
      </c>
      <c r="L156" s="28" t="s">
        <v>74</v>
      </c>
      <c r="M156" s="28" t="s">
        <v>74</v>
      </c>
      <c r="N156" s="27" t="s">
        <v>74</v>
      </c>
      <c r="O156" s="27" t="s">
        <v>74</v>
      </c>
      <c r="P156" s="69" t="s">
        <v>74</v>
      </c>
      <c r="Q156" s="69" t="s">
        <v>74</v>
      </c>
      <c r="R156" s="69" t="s">
        <v>74</v>
      </c>
    </row>
    <row r="157" spans="1:19" s="3" customFormat="1" x14ac:dyDescent="0.3">
      <c r="A157" s="43">
        <v>0</v>
      </c>
      <c r="B157" s="43" t="s">
        <v>162</v>
      </c>
      <c r="C157" s="43" t="s">
        <v>162</v>
      </c>
      <c r="D157" s="5" t="s">
        <v>74</v>
      </c>
      <c r="E157" s="6" t="s">
        <v>74</v>
      </c>
      <c r="F157" s="58" t="s">
        <v>74</v>
      </c>
      <c r="G157" s="58" t="s">
        <v>74</v>
      </c>
      <c r="H157" s="59" t="s">
        <v>74</v>
      </c>
      <c r="I157" s="60" t="s">
        <v>74</v>
      </c>
      <c r="J157" s="60" t="s">
        <v>74</v>
      </c>
      <c r="K157" s="19"/>
      <c r="L157" s="28" t="s">
        <v>74</v>
      </c>
      <c r="M157" s="28" t="s">
        <v>74</v>
      </c>
      <c r="N157" s="27" t="s">
        <v>74</v>
      </c>
      <c r="O157" s="27" t="s">
        <v>74</v>
      </c>
      <c r="P157" s="69" t="s">
        <v>74</v>
      </c>
      <c r="Q157" s="69" t="s">
        <v>74</v>
      </c>
      <c r="R157" s="69" t="s">
        <v>74</v>
      </c>
      <c r="S157" s="38"/>
    </row>
    <row r="158" spans="1:19" x14ac:dyDescent="0.3">
      <c r="A158" s="43">
        <v>0</v>
      </c>
      <c r="B158" s="43" t="s">
        <v>163</v>
      </c>
      <c r="C158" s="43" t="s">
        <v>163</v>
      </c>
      <c r="D158" s="5" t="s">
        <v>74</v>
      </c>
      <c r="E158" s="6" t="s">
        <v>74</v>
      </c>
      <c r="F158" s="58" t="s">
        <v>74</v>
      </c>
      <c r="G158" s="58" t="s">
        <v>74</v>
      </c>
      <c r="H158" s="59" t="s">
        <v>74</v>
      </c>
      <c r="I158" s="60" t="s">
        <v>74</v>
      </c>
      <c r="J158" s="60" t="s">
        <v>74</v>
      </c>
      <c r="L158" s="28" t="s">
        <v>74</v>
      </c>
      <c r="M158" s="28" t="s">
        <v>74</v>
      </c>
      <c r="N158" s="27" t="s">
        <v>74</v>
      </c>
      <c r="O158" s="27" t="s">
        <v>74</v>
      </c>
      <c r="P158" s="69" t="s">
        <v>74</v>
      </c>
      <c r="Q158" s="69" t="s">
        <v>74</v>
      </c>
      <c r="R158" s="69" t="s">
        <v>74</v>
      </c>
    </row>
    <row r="159" spans="1:19" s="3" customFormat="1" x14ac:dyDescent="0.3">
      <c r="A159" s="43">
        <v>0</v>
      </c>
      <c r="B159" s="43" t="s">
        <v>195</v>
      </c>
      <c r="C159" s="43" t="s">
        <v>195</v>
      </c>
      <c r="D159" s="5" t="s">
        <v>74</v>
      </c>
      <c r="E159" s="6" t="s">
        <v>74</v>
      </c>
      <c r="F159" s="58" t="s">
        <v>74</v>
      </c>
      <c r="G159" s="58" t="s">
        <v>74</v>
      </c>
      <c r="H159" s="59" t="s">
        <v>74</v>
      </c>
      <c r="I159" s="60" t="s">
        <v>74</v>
      </c>
      <c r="J159" s="60" t="s">
        <v>74</v>
      </c>
      <c r="K159" s="20"/>
      <c r="L159" s="28" t="s">
        <v>74</v>
      </c>
      <c r="M159" s="28" t="s">
        <v>74</v>
      </c>
      <c r="N159" s="27" t="s">
        <v>74</v>
      </c>
      <c r="O159" s="27" t="s">
        <v>74</v>
      </c>
      <c r="P159" s="69" t="s">
        <v>74</v>
      </c>
      <c r="Q159" s="69" t="s">
        <v>74</v>
      </c>
      <c r="R159" s="69" t="s">
        <v>74</v>
      </c>
    </row>
    <row r="160" spans="1:19" s="3" customFormat="1" x14ac:dyDescent="0.3">
      <c r="A160" s="43">
        <v>0</v>
      </c>
      <c r="B160" s="43" t="s">
        <v>196</v>
      </c>
      <c r="C160" s="43" t="s">
        <v>196</v>
      </c>
      <c r="D160" s="5" t="s">
        <v>74</v>
      </c>
      <c r="E160" s="6" t="s">
        <v>74</v>
      </c>
      <c r="F160" s="58" t="s">
        <v>74</v>
      </c>
      <c r="G160" s="58" t="s">
        <v>74</v>
      </c>
      <c r="H160" s="59" t="s">
        <v>74</v>
      </c>
      <c r="I160" s="60" t="s">
        <v>74</v>
      </c>
      <c r="J160" s="60" t="s">
        <v>74</v>
      </c>
      <c r="K160" s="20"/>
      <c r="L160" s="28" t="s">
        <v>74</v>
      </c>
      <c r="M160" s="28" t="s">
        <v>74</v>
      </c>
      <c r="N160" s="27" t="s">
        <v>74</v>
      </c>
      <c r="O160" s="27" t="s">
        <v>74</v>
      </c>
      <c r="P160" s="69" t="s">
        <v>74</v>
      </c>
      <c r="Q160" s="69" t="s">
        <v>74</v>
      </c>
      <c r="R160" s="69" t="s">
        <v>74</v>
      </c>
    </row>
    <row r="161" spans="1:19" x14ac:dyDescent="0.3">
      <c r="A161" s="9" t="s">
        <v>2</v>
      </c>
    </row>
    <row r="162" spans="1:19" s="3" customFormat="1" x14ac:dyDescent="0.3">
      <c r="A162" s="14">
        <f>IF(LEN(C162)=17,LEFT(C162,4)+(B162-1)/(DATE(LEFT(C162,4)+1,1,1)-DATE(LEFT(C162,4),1,1)),"BAD DATE FORMAT")</f>
        <v>2025.5808238203958</v>
      </c>
      <c r="B162" s="15">
        <f>DATE(LEFT(C162,4),RIGHT(LEFT(C162,7),2),RIGHT(LEFT(C162,10),2))-DATE(LEFT(C162,4),1,1)+1+(RIGHT(LEFT(C162,14),2)*60+RIGHT(C162,2))/1440</f>
        <v>213.00069444444443</v>
      </c>
      <c r="C162" s="3" t="s">
        <v>197</v>
      </c>
      <c r="D162" s="10"/>
      <c r="E162" s="23"/>
      <c r="F162" s="25"/>
      <c r="G162" s="25"/>
      <c r="H162" s="63"/>
      <c r="I162" s="63"/>
      <c r="J162" s="63"/>
      <c r="K162" s="19"/>
      <c r="L162" s="28"/>
      <c r="M162" s="28"/>
      <c r="N162" s="27"/>
      <c r="O162" s="27"/>
      <c r="P162" s="69"/>
      <c r="Q162" s="69"/>
      <c r="R162" s="63"/>
    </row>
    <row r="163" spans="1:19" s="3" customFormat="1" x14ac:dyDescent="0.3">
      <c r="A163" s="43">
        <v>0</v>
      </c>
      <c r="B163" s="43" t="s">
        <v>159</v>
      </c>
      <c r="C163" s="43" t="s">
        <v>159</v>
      </c>
      <c r="D163" s="5" t="s">
        <v>74</v>
      </c>
      <c r="E163" s="6" t="s">
        <v>74</v>
      </c>
      <c r="F163" s="58" t="s">
        <v>74</v>
      </c>
      <c r="G163" s="58" t="s">
        <v>74</v>
      </c>
      <c r="H163" s="60" t="str">
        <f t="shared" ref="H163:H185" si="4">D163</f>
        <v>NA</v>
      </c>
      <c r="I163" s="60" t="str">
        <f t="shared" ref="I163:I185" si="5">E163</f>
        <v>NA</v>
      </c>
      <c r="J163" s="60" t="s">
        <v>74</v>
      </c>
      <c r="K163" s="19"/>
      <c r="L163" s="6" t="s">
        <v>200</v>
      </c>
      <c r="M163" s="71" t="s">
        <v>24</v>
      </c>
      <c r="N163" s="58" t="s">
        <v>74</v>
      </c>
      <c r="O163" s="58" t="s">
        <v>74</v>
      </c>
      <c r="P163" s="60" t="str">
        <f t="shared" ref="P163:P185" si="6">L163</f>
        <v>STW_2025-08-15.cr1</v>
      </c>
      <c r="Q163" s="60" t="str">
        <f t="shared" ref="Q163:Q185" si="7">M163</f>
        <v>R = 1000/M</v>
      </c>
      <c r="R163" s="69" t="s">
        <v>74</v>
      </c>
    </row>
    <row r="164" spans="1:19" s="3" customFormat="1" x14ac:dyDescent="0.3">
      <c r="A164" s="43">
        <v>0</v>
      </c>
      <c r="B164" s="43" t="s">
        <v>160</v>
      </c>
      <c r="C164" s="43" t="s">
        <v>160</v>
      </c>
      <c r="D164" s="5" t="s">
        <v>74</v>
      </c>
      <c r="E164" s="6" t="s">
        <v>74</v>
      </c>
      <c r="F164" s="58" t="s">
        <v>74</v>
      </c>
      <c r="G164" s="58" t="s">
        <v>74</v>
      </c>
      <c r="H164" s="60" t="str">
        <f t="shared" si="4"/>
        <v>NA</v>
      </c>
      <c r="I164" s="60" t="str">
        <f t="shared" si="5"/>
        <v>NA</v>
      </c>
      <c r="J164" s="60" t="s">
        <v>74</v>
      </c>
      <c r="K164" s="19"/>
      <c r="L164" s="6" t="str">
        <f t="shared" ref="L164:L183" si="8">L163</f>
        <v>STW_2025-08-15.cr1</v>
      </c>
      <c r="M164" s="71" t="s">
        <v>24</v>
      </c>
      <c r="N164" s="58" t="s">
        <v>74</v>
      </c>
      <c r="O164" s="58" t="s">
        <v>74</v>
      </c>
      <c r="P164" s="60" t="str">
        <f t="shared" si="6"/>
        <v>STW_2025-08-15.cr1</v>
      </c>
      <c r="Q164" s="60" t="str">
        <f t="shared" si="7"/>
        <v>R = 1000/M</v>
      </c>
      <c r="R164" s="69" t="s">
        <v>74</v>
      </c>
    </row>
    <row r="165" spans="1:19" s="3" customFormat="1" x14ac:dyDescent="0.3">
      <c r="A165" s="43">
        <v>0</v>
      </c>
      <c r="B165" s="43" t="str">
        <f>B166&amp;"_mV"</f>
        <v>CMP11(128907)_mV</v>
      </c>
      <c r="C165" s="43" t="str">
        <f>C166&amp;"_mV"</f>
        <v>GHI_CMP11(128907)_mV</v>
      </c>
      <c r="D165" s="5" t="s">
        <v>74</v>
      </c>
      <c r="E165" s="6" t="s">
        <v>74</v>
      </c>
      <c r="F165" s="58" t="s">
        <v>74</v>
      </c>
      <c r="G165" s="58" t="s">
        <v>74</v>
      </c>
      <c r="H165" s="60" t="str">
        <f t="shared" si="4"/>
        <v>NA</v>
      </c>
      <c r="I165" s="60" t="str">
        <f t="shared" si="5"/>
        <v>NA</v>
      </c>
      <c r="J165" s="60" t="s">
        <v>74</v>
      </c>
      <c r="K165" s="20"/>
      <c r="L165" s="6" t="str">
        <f t="shared" si="8"/>
        <v>STW_2025-08-15.cr1</v>
      </c>
      <c r="M165" s="71" t="s">
        <v>24</v>
      </c>
      <c r="N165" s="58" t="s">
        <v>74</v>
      </c>
      <c r="O165" s="58" t="s">
        <v>74</v>
      </c>
      <c r="P165" s="60" t="str">
        <f t="shared" si="6"/>
        <v>STW_2025-08-15.cr1</v>
      </c>
      <c r="Q165" s="60" t="str">
        <f t="shared" si="7"/>
        <v>R = 1000/M</v>
      </c>
      <c r="R165" s="69" t="s">
        <v>74</v>
      </c>
      <c r="S165" s="38"/>
    </row>
    <row r="166" spans="1:19" s="3" customFormat="1" x14ac:dyDescent="0.3">
      <c r="A166" s="35">
        <v>1000</v>
      </c>
      <c r="B166" s="35" t="s">
        <v>201</v>
      </c>
      <c r="C166" s="43" t="str">
        <f>"GHI_" &amp;B166</f>
        <v>GHI_CMP11(128907)</v>
      </c>
      <c r="D166" s="5">
        <f>H166</f>
        <v>113.62216086625536</v>
      </c>
      <c r="E166" s="6">
        <f>I166</f>
        <v>8.8010999999999999</v>
      </c>
      <c r="F166" s="58" t="s">
        <v>74</v>
      </c>
      <c r="G166" s="58" t="s">
        <v>74</v>
      </c>
      <c r="H166" s="60">
        <f>1000/I166</f>
        <v>113.62216086625536</v>
      </c>
      <c r="I166" s="35">
        <v>8.8010999999999999</v>
      </c>
      <c r="J166" s="35">
        <v>1.7168308506891186</v>
      </c>
      <c r="K166" s="20"/>
      <c r="L166" s="6" t="str">
        <f t="shared" si="8"/>
        <v>STW_2025-08-15.cr1</v>
      </c>
      <c r="M166" s="71" t="s">
        <v>24</v>
      </c>
      <c r="N166" s="58" t="s">
        <v>74</v>
      </c>
      <c r="O166" s="58" t="s">
        <v>74</v>
      </c>
      <c r="P166" s="60" t="str">
        <f t="shared" si="6"/>
        <v>STW_2025-08-15.cr1</v>
      </c>
      <c r="Q166" s="60" t="str">
        <f t="shared" si="7"/>
        <v>R = 1000/M</v>
      </c>
      <c r="R166" s="57" t="s">
        <v>199</v>
      </c>
      <c r="S166" s="38"/>
    </row>
    <row r="167" spans="1:19" s="3" customFormat="1" x14ac:dyDescent="0.3">
      <c r="A167" s="43">
        <v>0</v>
      </c>
      <c r="B167" s="43" t="str">
        <f>B166&amp;"_mV_Stdev"</f>
        <v>CMP11(128907)_mV_Stdev</v>
      </c>
      <c r="C167" s="43" t="str">
        <f>C166&amp;"_mV_Stdev"</f>
        <v>GHI_CMP11(128907)_mV_Stdev</v>
      </c>
      <c r="D167" s="5" t="s">
        <v>74</v>
      </c>
      <c r="E167" s="6" t="s">
        <v>74</v>
      </c>
      <c r="F167" s="58" t="s">
        <v>74</v>
      </c>
      <c r="G167" s="58" t="s">
        <v>74</v>
      </c>
      <c r="H167" s="60" t="str">
        <f t="shared" si="4"/>
        <v>NA</v>
      </c>
      <c r="I167" s="60" t="str">
        <f t="shared" si="5"/>
        <v>NA</v>
      </c>
      <c r="J167" s="60" t="s">
        <v>74</v>
      </c>
      <c r="K167" s="20"/>
      <c r="L167" s="6" t="str">
        <f t="shared" si="8"/>
        <v>STW_2025-08-15.cr1</v>
      </c>
      <c r="M167" s="71" t="s">
        <v>24</v>
      </c>
      <c r="N167" s="58" t="s">
        <v>74</v>
      </c>
      <c r="O167" s="58" t="s">
        <v>74</v>
      </c>
      <c r="P167" s="60" t="str">
        <f t="shared" si="6"/>
        <v>STW_2025-08-15.cr1</v>
      </c>
      <c r="Q167" s="60" t="str">
        <f t="shared" si="7"/>
        <v>R = 1000/M</v>
      </c>
      <c r="R167" s="69" t="s">
        <v>74</v>
      </c>
      <c r="S167" s="38"/>
    </row>
    <row r="168" spans="1:19" s="3" customFormat="1" x14ac:dyDescent="0.3">
      <c r="A168" s="43">
        <v>0</v>
      </c>
      <c r="B168" s="43" t="str">
        <f>B166&amp;"_Irr_Stdev"</f>
        <v>CMP11(128907)_Irr_Stdev</v>
      </c>
      <c r="C168" s="43" t="str">
        <f>C166&amp;"_Irr_Stdev"</f>
        <v>GHI_CMP11(128907)_Irr_Stdev</v>
      </c>
      <c r="D168" s="5" t="s">
        <v>74</v>
      </c>
      <c r="E168" s="6" t="s">
        <v>74</v>
      </c>
      <c r="F168" s="58" t="s">
        <v>74</v>
      </c>
      <c r="G168" s="58" t="s">
        <v>74</v>
      </c>
      <c r="H168" s="60" t="str">
        <f t="shared" si="4"/>
        <v>NA</v>
      </c>
      <c r="I168" s="60" t="str">
        <f t="shared" si="5"/>
        <v>NA</v>
      </c>
      <c r="J168" s="60" t="s">
        <v>74</v>
      </c>
      <c r="K168" s="20"/>
      <c r="L168" s="6" t="str">
        <f t="shared" si="8"/>
        <v>STW_2025-08-15.cr1</v>
      </c>
      <c r="M168" s="71" t="s">
        <v>24</v>
      </c>
      <c r="N168" s="58" t="s">
        <v>74</v>
      </c>
      <c r="O168" s="58" t="s">
        <v>74</v>
      </c>
      <c r="P168" s="60" t="str">
        <f t="shared" si="6"/>
        <v>STW_2025-08-15.cr1</v>
      </c>
      <c r="Q168" s="60" t="str">
        <f t="shared" si="7"/>
        <v>R = 1000/M</v>
      </c>
      <c r="R168" s="69" t="s">
        <v>74</v>
      </c>
      <c r="S168" s="38"/>
    </row>
    <row r="169" spans="1:19" s="3" customFormat="1" x14ac:dyDescent="0.3">
      <c r="A169" s="43">
        <v>0</v>
      </c>
      <c r="B169" s="43" t="str">
        <f>B170&amp;"_mV"</f>
        <v>NIP(17009E6)_mV</v>
      </c>
      <c r="C169" s="43" t="str">
        <f>C170&amp;"_mV"</f>
        <v>DNI_NIP(17009E6)_mV</v>
      </c>
      <c r="D169" s="5" t="s">
        <v>74</v>
      </c>
      <c r="E169" s="6" t="s">
        <v>74</v>
      </c>
      <c r="F169" s="58" t="s">
        <v>74</v>
      </c>
      <c r="G169" s="58" t="s">
        <v>74</v>
      </c>
      <c r="H169" s="60" t="str">
        <f t="shared" si="4"/>
        <v>NA</v>
      </c>
      <c r="I169" s="60" t="str">
        <f t="shared" si="5"/>
        <v>NA</v>
      </c>
      <c r="J169" s="60" t="s">
        <v>74</v>
      </c>
      <c r="K169" s="20"/>
      <c r="L169" s="6" t="str">
        <f t="shared" si="8"/>
        <v>STW_2025-08-15.cr1</v>
      </c>
      <c r="M169" s="71" t="s">
        <v>24</v>
      </c>
      <c r="N169" s="58" t="s">
        <v>74</v>
      </c>
      <c r="O169" s="58" t="s">
        <v>74</v>
      </c>
      <c r="P169" s="60" t="str">
        <f t="shared" si="6"/>
        <v>STW_2025-08-15.cr1</v>
      </c>
      <c r="Q169" s="60" t="str">
        <f t="shared" si="7"/>
        <v>R = 1000/M</v>
      </c>
      <c r="R169" s="69" t="s">
        <v>74</v>
      </c>
      <c r="S169" s="38"/>
    </row>
    <row r="170" spans="1:19" s="3" customFormat="1" x14ac:dyDescent="0.3">
      <c r="A170" s="35">
        <v>2010</v>
      </c>
      <c r="B170" s="35" t="s">
        <v>38</v>
      </c>
      <c r="C170" s="43" t="str">
        <f>"DNI_" &amp;B170</f>
        <v>DNI_NIP(17009E6)</v>
      </c>
      <c r="D170" s="5">
        <f>H170</f>
        <v>119.33601441579054</v>
      </c>
      <c r="E170" s="6">
        <f>I170</f>
        <v>8.3796999999999997</v>
      </c>
      <c r="F170" s="58" t="s">
        <v>74</v>
      </c>
      <c r="G170" s="58" t="s">
        <v>74</v>
      </c>
      <c r="H170" s="60">
        <f>1000/I170</f>
        <v>119.33601441579054</v>
      </c>
      <c r="I170" s="35">
        <v>8.3796999999999997</v>
      </c>
      <c r="J170" s="35">
        <v>1.0501569268589568</v>
      </c>
      <c r="K170" s="20"/>
      <c r="L170" s="6" t="str">
        <f t="shared" si="8"/>
        <v>STW_2025-08-15.cr1</v>
      </c>
      <c r="M170" s="71" t="s">
        <v>24</v>
      </c>
      <c r="N170" s="58" t="s">
        <v>74</v>
      </c>
      <c r="O170" s="58" t="s">
        <v>74</v>
      </c>
      <c r="P170" s="60" t="str">
        <f t="shared" si="6"/>
        <v>STW_2025-08-15.cr1</v>
      </c>
      <c r="Q170" s="60" t="str">
        <f t="shared" si="7"/>
        <v>R = 1000/M</v>
      </c>
      <c r="R170" s="57" t="s">
        <v>199</v>
      </c>
      <c r="S170" s="38"/>
    </row>
    <row r="171" spans="1:19" s="3" customFormat="1" x14ac:dyDescent="0.3">
      <c r="A171" s="43">
        <v>0</v>
      </c>
      <c r="B171" s="43" t="str">
        <f>B170&amp;"_mV_Stdev"</f>
        <v>NIP(17009E6)_mV_Stdev</v>
      </c>
      <c r="C171" s="43" t="str">
        <f>C170&amp;"_mV_Stdev"</f>
        <v>DNI_NIP(17009E6)_mV_Stdev</v>
      </c>
      <c r="D171" s="5" t="s">
        <v>74</v>
      </c>
      <c r="E171" s="6" t="s">
        <v>74</v>
      </c>
      <c r="F171" s="58" t="s">
        <v>74</v>
      </c>
      <c r="G171" s="58" t="s">
        <v>74</v>
      </c>
      <c r="H171" s="60" t="str">
        <f t="shared" si="4"/>
        <v>NA</v>
      </c>
      <c r="I171" s="60" t="str">
        <f t="shared" si="5"/>
        <v>NA</v>
      </c>
      <c r="J171" s="60" t="s">
        <v>74</v>
      </c>
      <c r="K171" s="19"/>
      <c r="L171" s="6" t="str">
        <f t="shared" si="8"/>
        <v>STW_2025-08-15.cr1</v>
      </c>
      <c r="M171" s="71" t="s">
        <v>24</v>
      </c>
      <c r="N171" s="58" t="s">
        <v>74</v>
      </c>
      <c r="O171" s="58" t="s">
        <v>74</v>
      </c>
      <c r="P171" s="60" t="str">
        <f t="shared" si="6"/>
        <v>STW_2025-08-15.cr1</v>
      </c>
      <c r="Q171" s="60" t="str">
        <f t="shared" si="7"/>
        <v>R = 1000/M</v>
      </c>
      <c r="R171" s="69" t="s">
        <v>74</v>
      </c>
      <c r="S171" s="38"/>
    </row>
    <row r="172" spans="1:19" s="3" customFormat="1" x14ac:dyDescent="0.3">
      <c r="A172" s="43">
        <v>0</v>
      </c>
      <c r="B172" s="43" t="str">
        <f>B170&amp;"_Irr_Stdev"</f>
        <v>NIP(17009E6)_Irr_Stdev</v>
      </c>
      <c r="C172" s="43" t="str">
        <f>C170&amp;"_Irr_Stdev"</f>
        <v>DNI_NIP(17009E6)_Irr_Stdev</v>
      </c>
      <c r="D172" s="5" t="s">
        <v>74</v>
      </c>
      <c r="E172" s="6" t="s">
        <v>74</v>
      </c>
      <c r="F172" s="58" t="s">
        <v>74</v>
      </c>
      <c r="G172" s="58" t="s">
        <v>74</v>
      </c>
      <c r="H172" s="60" t="str">
        <f t="shared" si="4"/>
        <v>NA</v>
      </c>
      <c r="I172" s="60" t="str">
        <f t="shared" si="5"/>
        <v>NA</v>
      </c>
      <c r="J172" s="60" t="s">
        <v>74</v>
      </c>
      <c r="K172" s="20"/>
      <c r="L172" s="6" t="str">
        <f t="shared" si="8"/>
        <v>STW_2025-08-15.cr1</v>
      </c>
      <c r="M172" s="71" t="s">
        <v>24</v>
      </c>
      <c r="N172" s="58" t="s">
        <v>74</v>
      </c>
      <c r="O172" s="58" t="s">
        <v>74</v>
      </c>
      <c r="P172" s="60" t="str">
        <f t="shared" si="6"/>
        <v>STW_2025-08-15.cr1</v>
      </c>
      <c r="Q172" s="60" t="str">
        <f t="shared" si="7"/>
        <v>R = 1000/M</v>
      </c>
      <c r="R172" s="69" t="s">
        <v>74</v>
      </c>
      <c r="S172" s="38"/>
    </row>
    <row r="173" spans="1:19" s="3" customFormat="1" x14ac:dyDescent="0.3">
      <c r="A173" s="43">
        <v>0</v>
      </c>
      <c r="B173" s="43" t="str">
        <f>B174&amp;"_mV"</f>
        <v>CMP11(128906)_mV</v>
      </c>
      <c r="C173" s="43" t="str">
        <f>C174&amp;"_mV"</f>
        <v>DHI_CMP11(128906)_mV</v>
      </c>
      <c r="D173" s="5" t="s">
        <v>74</v>
      </c>
      <c r="E173" s="6" t="s">
        <v>74</v>
      </c>
      <c r="F173" s="58" t="s">
        <v>74</v>
      </c>
      <c r="G173" s="58" t="s">
        <v>74</v>
      </c>
      <c r="H173" s="60" t="str">
        <f t="shared" si="4"/>
        <v>NA</v>
      </c>
      <c r="I173" s="60" t="str">
        <f t="shared" si="5"/>
        <v>NA</v>
      </c>
      <c r="J173" s="60" t="s">
        <v>74</v>
      </c>
      <c r="K173" s="19"/>
      <c r="L173" s="6" t="str">
        <f t="shared" si="8"/>
        <v>STW_2025-08-15.cr1</v>
      </c>
      <c r="M173" s="71" t="s">
        <v>24</v>
      </c>
      <c r="N173" s="58" t="s">
        <v>74</v>
      </c>
      <c r="O173" s="58" t="s">
        <v>74</v>
      </c>
      <c r="P173" s="60" t="str">
        <f t="shared" si="6"/>
        <v>STW_2025-08-15.cr1</v>
      </c>
      <c r="Q173" s="60" t="str">
        <f t="shared" si="7"/>
        <v>R = 1000/M</v>
      </c>
      <c r="R173" s="69" t="s">
        <v>74</v>
      </c>
      <c r="S173" s="38"/>
    </row>
    <row r="174" spans="1:19" s="3" customFormat="1" x14ac:dyDescent="0.3">
      <c r="A174" s="35">
        <v>3000</v>
      </c>
      <c r="B174" s="35" t="s">
        <v>202</v>
      </c>
      <c r="C174" s="43" t="str">
        <f>"DHI_" &amp;B174</f>
        <v>DHI_CMP11(128906)</v>
      </c>
      <c r="D174" s="5">
        <f>H174</f>
        <v>121.28268568379177</v>
      </c>
      <c r="E174" s="6">
        <f>I174</f>
        <v>8.2452000000000005</v>
      </c>
      <c r="F174" s="58" t="s">
        <v>74</v>
      </c>
      <c r="G174" s="58" t="s">
        <v>74</v>
      </c>
      <c r="H174" s="60">
        <f>1000/I174</f>
        <v>121.28268568379177</v>
      </c>
      <c r="I174" s="35">
        <v>8.2452000000000005</v>
      </c>
      <c r="J174" s="35">
        <v>0.94600494833357585</v>
      </c>
      <c r="K174" s="19"/>
      <c r="L174" s="6" t="str">
        <f t="shared" si="8"/>
        <v>STW_2025-08-15.cr1</v>
      </c>
      <c r="M174" s="71" t="s">
        <v>24</v>
      </c>
      <c r="N174" s="58" t="s">
        <v>74</v>
      </c>
      <c r="O174" s="58" t="s">
        <v>74</v>
      </c>
      <c r="P174" s="60" t="str">
        <f t="shared" si="6"/>
        <v>STW_2025-08-15.cr1</v>
      </c>
      <c r="Q174" s="60" t="str">
        <f t="shared" si="7"/>
        <v>R = 1000/M</v>
      </c>
      <c r="R174" s="57" t="s">
        <v>199</v>
      </c>
    </row>
    <row r="175" spans="1:19" s="3" customFormat="1" x14ac:dyDescent="0.3">
      <c r="A175" s="43">
        <v>0</v>
      </c>
      <c r="B175" s="43" t="str">
        <f>B174&amp;"_mV_Stdev"</f>
        <v>CMP11(128906)_mV_Stdev</v>
      </c>
      <c r="C175" s="43" t="str">
        <f>C174&amp;"_mV_Stdev"</f>
        <v>DHI_CMP11(128906)_mV_Stdev</v>
      </c>
      <c r="D175" s="5" t="s">
        <v>74</v>
      </c>
      <c r="E175" s="6" t="s">
        <v>74</v>
      </c>
      <c r="F175" s="58" t="s">
        <v>74</v>
      </c>
      <c r="G175" s="58" t="s">
        <v>74</v>
      </c>
      <c r="H175" s="60" t="str">
        <f t="shared" si="4"/>
        <v>NA</v>
      </c>
      <c r="I175" s="60" t="str">
        <f t="shared" si="5"/>
        <v>NA</v>
      </c>
      <c r="J175" s="60" t="s">
        <v>74</v>
      </c>
      <c r="K175" s="19"/>
      <c r="L175" s="6" t="str">
        <f t="shared" si="8"/>
        <v>STW_2025-08-15.cr1</v>
      </c>
      <c r="M175" s="71" t="s">
        <v>24</v>
      </c>
      <c r="N175" s="58" t="s">
        <v>74</v>
      </c>
      <c r="O175" s="58" t="s">
        <v>74</v>
      </c>
      <c r="P175" s="60" t="str">
        <f t="shared" si="6"/>
        <v>STW_2025-08-15.cr1</v>
      </c>
      <c r="Q175" s="60" t="str">
        <f t="shared" si="7"/>
        <v>R = 1000/M</v>
      </c>
      <c r="R175" s="69" t="s">
        <v>74</v>
      </c>
    </row>
    <row r="176" spans="1:19" x14ac:dyDescent="0.3">
      <c r="A176" s="43">
        <v>0</v>
      </c>
      <c r="B176" s="43" t="str">
        <f>B174&amp;"_Irr_Stdev"</f>
        <v>CMP11(128906)_Irr_Stdev</v>
      </c>
      <c r="C176" s="43" t="str">
        <f>C174&amp;"_Irr_Stdev"</f>
        <v>DHI_CMP11(128906)_Irr_Stdev</v>
      </c>
      <c r="D176" s="5" t="s">
        <v>74</v>
      </c>
      <c r="E176" s="6" t="s">
        <v>74</v>
      </c>
      <c r="F176" s="58" t="s">
        <v>74</v>
      </c>
      <c r="G176" s="58" t="s">
        <v>74</v>
      </c>
      <c r="H176" s="60" t="str">
        <f t="shared" si="4"/>
        <v>NA</v>
      </c>
      <c r="I176" s="60" t="str">
        <f t="shared" si="5"/>
        <v>NA</v>
      </c>
      <c r="J176" s="60" t="s">
        <v>74</v>
      </c>
      <c r="L176" s="6" t="str">
        <f t="shared" si="8"/>
        <v>STW_2025-08-15.cr1</v>
      </c>
      <c r="M176" s="71" t="s">
        <v>24</v>
      </c>
      <c r="N176" s="58" t="s">
        <v>74</v>
      </c>
      <c r="O176" s="58" t="s">
        <v>74</v>
      </c>
      <c r="P176" s="60" t="str">
        <f t="shared" si="6"/>
        <v>STW_2025-08-15.cr1</v>
      </c>
      <c r="Q176" s="60" t="str">
        <f t="shared" si="7"/>
        <v>R = 1000/M</v>
      </c>
      <c r="R176" s="69" t="s">
        <v>74</v>
      </c>
    </row>
    <row r="177" spans="1:19" s="3" customFormat="1" x14ac:dyDescent="0.3">
      <c r="A177" s="43">
        <v>0</v>
      </c>
      <c r="B177" s="43" t="s">
        <v>161</v>
      </c>
      <c r="C177" s="43" t="s">
        <v>161</v>
      </c>
      <c r="D177" s="5" t="s">
        <v>74</v>
      </c>
      <c r="E177" s="6" t="s">
        <v>74</v>
      </c>
      <c r="F177" s="58" t="s">
        <v>74</v>
      </c>
      <c r="G177" s="58" t="s">
        <v>74</v>
      </c>
      <c r="H177" s="60" t="str">
        <f t="shared" si="4"/>
        <v>NA</v>
      </c>
      <c r="I177" s="60" t="str">
        <f t="shared" si="5"/>
        <v>NA</v>
      </c>
      <c r="J177" s="60" t="s">
        <v>74</v>
      </c>
      <c r="K177" s="19"/>
      <c r="L177" s="6" t="str">
        <f t="shared" si="8"/>
        <v>STW_2025-08-15.cr1</v>
      </c>
      <c r="M177" s="71" t="s">
        <v>24</v>
      </c>
      <c r="N177" s="58" t="s">
        <v>74</v>
      </c>
      <c r="O177" s="58" t="s">
        <v>74</v>
      </c>
      <c r="P177" s="60" t="str">
        <f t="shared" si="6"/>
        <v>STW_2025-08-15.cr1</v>
      </c>
      <c r="Q177" s="60" t="str">
        <f t="shared" si="7"/>
        <v>R = 1000/M</v>
      </c>
      <c r="R177" s="69" t="s">
        <v>74</v>
      </c>
      <c r="S177" s="38"/>
    </row>
    <row r="178" spans="1:19" x14ac:dyDescent="0.3">
      <c r="A178" s="43">
        <v>9300</v>
      </c>
      <c r="B178" s="43" t="s">
        <v>32</v>
      </c>
      <c r="C178" s="43" t="s">
        <v>129</v>
      </c>
      <c r="D178" s="5">
        <v>1</v>
      </c>
      <c r="E178" s="6">
        <f>1000/D178</f>
        <v>1000</v>
      </c>
      <c r="F178" s="58" t="s">
        <v>74</v>
      </c>
      <c r="G178" s="58" t="s">
        <v>74</v>
      </c>
      <c r="H178" s="60">
        <f t="shared" si="4"/>
        <v>1</v>
      </c>
      <c r="I178" s="60">
        <f t="shared" si="5"/>
        <v>1000</v>
      </c>
      <c r="J178" s="60">
        <v>1</v>
      </c>
      <c r="L178" s="6" t="str">
        <f t="shared" si="8"/>
        <v>STW_2025-08-15.cr1</v>
      </c>
      <c r="M178" s="71" t="s">
        <v>24</v>
      </c>
      <c r="N178" s="58" t="s">
        <v>74</v>
      </c>
      <c r="O178" s="58" t="s">
        <v>74</v>
      </c>
      <c r="P178" s="60" t="str">
        <f t="shared" si="6"/>
        <v>STW_2025-08-15.cr1</v>
      </c>
      <c r="Q178" s="60" t="str">
        <f t="shared" si="7"/>
        <v>R = 1000/M</v>
      </c>
      <c r="R178" s="63" t="s">
        <v>46</v>
      </c>
    </row>
    <row r="179" spans="1:19" x14ac:dyDescent="0.3">
      <c r="A179" s="43">
        <v>0</v>
      </c>
      <c r="B179" s="43" t="s">
        <v>170</v>
      </c>
      <c r="C179" s="43" t="s">
        <v>170</v>
      </c>
      <c r="D179" s="5" t="s">
        <v>74</v>
      </c>
      <c r="E179" s="6" t="s">
        <v>74</v>
      </c>
      <c r="F179" s="58" t="s">
        <v>74</v>
      </c>
      <c r="G179" s="58" t="s">
        <v>74</v>
      </c>
      <c r="H179" s="60" t="str">
        <f t="shared" si="4"/>
        <v>NA</v>
      </c>
      <c r="I179" s="60" t="str">
        <f t="shared" si="5"/>
        <v>NA</v>
      </c>
      <c r="J179" s="60" t="s">
        <v>74</v>
      </c>
      <c r="L179" s="6" t="str">
        <f t="shared" si="8"/>
        <v>STW_2025-08-15.cr1</v>
      </c>
      <c r="M179" s="71" t="s">
        <v>24</v>
      </c>
      <c r="N179" s="58" t="s">
        <v>74</v>
      </c>
      <c r="O179" s="58" t="s">
        <v>74</v>
      </c>
      <c r="P179" s="60" t="str">
        <f t="shared" si="6"/>
        <v>STW_2025-08-15.cr1</v>
      </c>
      <c r="Q179" s="60" t="str">
        <f t="shared" si="7"/>
        <v>R = 1000/M</v>
      </c>
      <c r="R179" s="69" t="s">
        <v>74</v>
      </c>
    </row>
    <row r="180" spans="1:19" s="3" customFormat="1" x14ac:dyDescent="0.3">
      <c r="A180" s="43">
        <v>0</v>
      </c>
      <c r="B180" s="43" t="s">
        <v>162</v>
      </c>
      <c r="C180" s="43" t="s">
        <v>162</v>
      </c>
      <c r="D180" s="5" t="s">
        <v>74</v>
      </c>
      <c r="E180" s="6" t="s">
        <v>74</v>
      </c>
      <c r="F180" s="58" t="s">
        <v>74</v>
      </c>
      <c r="G180" s="58" t="s">
        <v>74</v>
      </c>
      <c r="H180" s="60" t="str">
        <f t="shared" si="4"/>
        <v>NA</v>
      </c>
      <c r="I180" s="60" t="str">
        <f t="shared" si="5"/>
        <v>NA</v>
      </c>
      <c r="J180" s="60" t="s">
        <v>74</v>
      </c>
      <c r="K180" s="19"/>
      <c r="L180" s="6" t="str">
        <f t="shared" si="8"/>
        <v>STW_2025-08-15.cr1</v>
      </c>
      <c r="M180" s="71" t="s">
        <v>24</v>
      </c>
      <c r="N180" s="58" t="s">
        <v>74</v>
      </c>
      <c r="O180" s="58" t="s">
        <v>74</v>
      </c>
      <c r="P180" s="60" t="str">
        <f t="shared" si="6"/>
        <v>STW_2025-08-15.cr1</v>
      </c>
      <c r="Q180" s="60" t="str">
        <f t="shared" si="7"/>
        <v>R = 1000/M</v>
      </c>
      <c r="R180" s="69" t="s">
        <v>74</v>
      </c>
      <c r="S180" s="38"/>
    </row>
    <row r="181" spans="1:19" x14ac:dyDescent="0.3">
      <c r="A181" s="43">
        <v>0</v>
      </c>
      <c r="B181" s="43" t="s">
        <v>163</v>
      </c>
      <c r="C181" s="43" t="s">
        <v>163</v>
      </c>
      <c r="D181" s="5" t="s">
        <v>74</v>
      </c>
      <c r="E181" s="6" t="s">
        <v>74</v>
      </c>
      <c r="F181" s="58" t="s">
        <v>74</v>
      </c>
      <c r="G181" s="58" t="s">
        <v>74</v>
      </c>
      <c r="H181" s="60" t="str">
        <f t="shared" si="4"/>
        <v>NA</v>
      </c>
      <c r="I181" s="60" t="str">
        <f t="shared" si="5"/>
        <v>NA</v>
      </c>
      <c r="J181" s="60" t="s">
        <v>74</v>
      </c>
      <c r="L181" s="6" t="str">
        <f t="shared" si="8"/>
        <v>STW_2025-08-15.cr1</v>
      </c>
      <c r="M181" s="71" t="s">
        <v>24</v>
      </c>
      <c r="N181" s="58" t="s">
        <v>74</v>
      </c>
      <c r="O181" s="58" t="s">
        <v>74</v>
      </c>
      <c r="P181" s="60" t="str">
        <f t="shared" si="6"/>
        <v>STW_2025-08-15.cr1</v>
      </c>
      <c r="Q181" s="60" t="str">
        <f t="shared" si="7"/>
        <v>R = 1000/M</v>
      </c>
      <c r="R181" s="69" t="s">
        <v>74</v>
      </c>
    </row>
    <row r="182" spans="1:19" s="3" customFormat="1" x14ac:dyDescent="0.3">
      <c r="A182" s="43">
        <v>0</v>
      </c>
      <c r="B182" s="43" t="s">
        <v>195</v>
      </c>
      <c r="C182" s="43" t="s">
        <v>195</v>
      </c>
      <c r="D182" s="5" t="s">
        <v>74</v>
      </c>
      <c r="E182" s="6" t="s">
        <v>74</v>
      </c>
      <c r="F182" s="58" t="s">
        <v>74</v>
      </c>
      <c r="G182" s="58" t="s">
        <v>74</v>
      </c>
      <c r="H182" s="60" t="str">
        <f t="shared" si="4"/>
        <v>NA</v>
      </c>
      <c r="I182" s="60" t="str">
        <f t="shared" si="5"/>
        <v>NA</v>
      </c>
      <c r="J182" s="60" t="s">
        <v>74</v>
      </c>
      <c r="K182" s="20"/>
      <c r="L182" s="6" t="str">
        <f t="shared" si="8"/>
        <v>STW_2025-08-15.cr1</v>
      </c>
      <c r="M182" s="71" t="s">
        <v>24</v>
      </c>
      <c r="N182" s="58" t="s">
        <v>74</v>
      </c>
      <c r="O182" s="58" t="s">
        <v>74</v>
      </c>
      <c r="P182" s="60" t="str">
        <f t="shared" si="6"/>
        <v>STW_2025-08-15.cr1</v>
      </c>
      <c r="Q182" s="60" t="str">
        <f t="shared" si="7"/>
        <v>R = 1000/M</v>
      </c>
      <c r="R182" s="69" t="s">
        <v>74</v>
      </c>
    </row>
    <row r="183" spans="1:19" s="3" customFormat="1" x14ac:dyDescent="0.3">
      <c r="A183" s="43">
        <v>0</v>
      </c>
      <c r="B183" s="43" t="s">
        <v>196</v>
      </c>
      <c r="C183" s="43" t="s">
        <v>196</v>
      </c>
      <c r="D183" s="5" t="s">
        <v>74</v>
      </c>
      <c r="E183" s="6" t="s">
        <v>74</v>
      </c>
      <c r="F183" s="58" t="s">
        <v>74</v>
      </c>
      <c r="G183" s="58" t="s">
        <v>74</v>
      </c>
      <c r="H183" s="60" t="str">
        <f t="shared" si="4"/>
        <v>NA</v>
      </c>
      <c r="I183" s="60" t="str">
        <f t="shared" si="5"/>
        <v>NA</v>
      </c>
      <c r="J183" s="60" t="s">
        <v>74</v>
      </c>
      <c r="K183" s="20"/>
      <c r="L183" s="6" t="str">
        <f t="shared" si="8"/>
        <v>STW_2025-08-15.cr1</v>
      </c>
      <c r="M183" s="71" t="s">
        <v>24</v>
      </c>
      <c r="N183" s="58" t="s">
        <v>74</v>
      </c>
      <c r="O183" s="58" t="s">
        <v>74</v>
      </c>
      <c r="P183" s="60" t="str">
        <f t="shared" si="6"/>
        <v>STW_2025-08-15.cr1</v>
      </c>
      <c r="Q183" s="60" t="str">
        <f t="shared" si="7"/>
        <v>R = 1000/M</v>
      </c>
      <c r="R183" s="69" t="s">
        <v>74</v>
      </c>
    </row>
    <row r="184" spans="1:19" x14ac:dyDescent="0.3">
      <c r="A184" s="35">
        <v>0</v>
      </c>
      <c r="B184" s="35" t="s">
        <v>198</v>
      </c>
      <c r="C184" s="35" t="s">
        <v>198</v>
      </c>
      <c r="D184" s="61">
        <v>1</v>
      </c>
      <c r="E184" s="35">
        <v>1000</v>
      </c>
      <c r="F184" s="35" t="s">
        <v>74</v>
      </c>
      <c r="G184" s="35" t="s">
        <v>74</v>
      </c>
      <c r="H184" s="60">
        <f t="shared" ref="H184" si="9">D184</f>
        <v>1</v>
      </c>
      <c r="I184" s="60">
        <f t="shared" ref="I184" si="10">E184</f>
        <v>1000</v>
      </c>
      <c r="J184" s="35">
        <v>1</v>
      </c>
      <c r="K184" s="70"/>
      <c r="L184" s="6" t="str">
        <f>L182</f>
        <v>STW_2025-08-15.cr1</v>
      </c>
      <c r="M184" s="71" t="s">
        <v>24</v>
      </c>
      <c r="N184" s="58" t="s">
        <v>74</v>
      </c>
      <c r="O184" s="58" t="s">
        <v>74</v>
      </c>
      <c r="P184" s="60" t="str">
        <f t="shared" ref="P184" si="11">L184</f>
        <v>STW_2025-08-15.cr1</v>
      </c>
      <c r="Q184" s="60" t="str">
        <f t="shared" ref="Q184" si="12">M184</f>
        <v>R = 1000/M</v>
      </c>
    </row>
    <row r="185" spans="1:19" x14ac:dyDescent="0.3">
      <c r="A185" s="35">
        <v>0</v>
      </c>
      <c r="B185" s="35" t="s">
        <v>198</v>
      </c>
      <c r="C185" s="35" t="s">
        <v>198</v>
      </c>
      <c r="D185" s="61">
        <v>1</v>
      </c>
      <c r="E185" s="35">
        <v>1000</v>
      </c>
      <c r="F185" s="35" t="s">
        <v>74</v>
      </c>
      <c r="G185" s="35" t="s">
        <v>74</v>
      </c>
      <c r="H185" s="60">
        <f t="shared" si="4"/>
        <v>1</v>
      </c>
      <c r="I185" s="60">
        <f t="shared" si="5"/>
        <v>1000</v>
      </c>
      <c r="J185" s="35">
        <v>1</v>
      </c>
      <c r="K185" s="70"/>
      <c r="L185" s="6" t="str">
        <f>L183</f>
        <v>STW_2025-08-15.cr1</v>
      </c>
      <c r="M185" s="71" t="s">
        <v>24</v>
      </c>
      <c r="N185" s="58" t="s">
        <v>74</v>
      </c>
      <c r="O185" s="58" t="s">
        <v>74</v>
      </c>
      <c r="P185" s="60" t="str">
        <f t="shared" si="6"/>
        <v>STW_2025-08-15.cr1</v>
      </c>
      <c r="Q185" s="60" t="str">
        <f t="shared" si="7"/>
        <v>R = 1000/M</v>
      </c>
    </row>
  </sheetData>
  <mergeCells count="3">
    <mergeCell ref="D1:E1"/>
    <mergeCell ref="H1:I1"/>
    <mergeCell ref="F1:G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STW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Josh Peterson</cp:lastModifiedBy>
  <cp:lastPrinted>2016-10-20T22:06:12Z</cp:lastPrinted>
  <dcterms:created xsi:type="dcterms:W3CDTF">2016-10-19T23:36:17Z</dcterms:created>
  <dcterms:modified xsi:type="dcterms:W3CDTF">2025-08-18T20:33:42Z</dcterms:modified>
</cp:coreProperties>
</file>