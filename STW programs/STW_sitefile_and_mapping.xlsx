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nf\Desktop\LEI-SRML-Intern-Project\STW programs\"/>
    </mc:Choice>
  </mc:AlternateContent>
  <xr:revisionPtr revIDLastSave="0" documentId="13_ncr:1_{D76A56CF-80F2-4854-A879-D9BD9079E865}" xr6:coauthVersionLast="47" xr6:coauthVersionMax="47" xr10:uidLastSave="{00000000-0000-0000-0000-000000000000}"/>
  <bookViews>
    <workbookView xWindow="31230" yWindow="1740" windowWidth="22230" windowHeight="12930" xr2:uid="{00000000-000D-0000-FFFF-FFFF00000000}"/>
  </bookViews>
  <sheets>
    <sheet name="STW site" sheetId="2" r:id="rId1"/>
    <sheet name="All" sheetId="3" r:id="rId2"/>
    <sheet name="GHI" sheetId="5" r:id="rId3"/>
    <sheet name="DNI" sheetId="6" r:id="rId4"/>
    <sheet name="DHI" sheetId="7" r:id="rId5"/>
    <sheet name="TEMP" sheetId="8" r:id="rId6"/>
    <sheet name="PIR" sheetId="9" r:id="rId7"/>
    <sheet name="SZA" sheetId="10" r:id="rId8"/>
    <sheet name="AZM" sheetId="11" r:id="rId9"/>
    <sheet name="Column Mapping" sheetId="12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5" l="1"/>
  <c r="C166" i="2"/>
  <c r="C165" i="2" s="1"/>
  <c r="C167" i="2"/>
  <c r="C168" i="2"/>
  <c r="C169" i="2"/>
  <c r="C170" i="2"/>
  <c r="C171" i="2"/>
  <c r="C172" i="2"/>
  <c r="C174" i="2"/>
  <c r="C176" i="2" s="1"/>
  <c r="Q184" i="2"/>
  <c r="I184" i="2"/>
  <c r="H184" i="2"/>
  <c r="H174" i="2"/>
  <c r="D174" i="2" s="1"/>
  <c r="E174" i="2"/>
  <c r="H170" i="2"/>
  <c r="D170" i="2" s="1"/>
  <c r="E170" i="2"/>
  <c r="E166" i="2"/>
  <c r="H166" i="2"/>
  <c r="D166" i="2" s="1"/>
  <c r="C175" i="2" l="1"/>
  <c r="C173" i="2"/>
  <c r="Q185" i="2"/>
  <c r="Q183" i="2"/>
  <c r="Q182" i="2"/>
  <c r="Q181" i="2"/>
  <c r="Q180" i="2"/>
  <c r="Q179" i="2"/>
  <c r="Q178" i="2"/>
  <c r="Q177" i="2"/>
  <c r="Q176" i="2"/>
  <c r="Q175" i="2"/>
  <c r="P175" i="2"/>
  <c r="Q174" i="2"/>
  <c r="Q173" i="2"/>
  <c r="P173" i="2"/>
  <c r="Q172" i="2"/>
  <c r="Q171" i="2"/>
  <c r="P171" i="2"/>
  <c r="Q170" i="2"/>
  <c r="Q169" i="2"/>
  <c r="P169" i="2"/>
  <c r="Q168" i="2"/>
  <c r="Q167" i="2"/>
  <c r="Q166" i="2"/>
  <c r="Q165" i="2"/>
  <c r="Q164" i="2"/>
  <c r="Q163" i="2"/>
  <c r="P163" i="2"/>
  <c r="I185" i="2"/>
  <c r="H185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3" i="2"/>
  <c r="H173" i="2"/>
  <c r="I172" i="2"/>
  <c r="H172" i="2"/>
  <c r="I171" i="2"/>
  <c r="H171" i="2"/>
  <c r="I169" i="2"/>
  <c r="H169" i="2"/>
  <c r="I168" i="2"/>
  <c r="H168" i="2"/>
  <c r="I167" i="2"/>
  <c r="H167" i="2"/>
  <c r="I165" i="2"/>
  <c r="H165" i="2"/>
  <c r="I164" i="2"/>
  <c r="H164" i="2"/>
  <c r="I163" i="2"/>
  <c r="H163" i="2"/>
  <c r="L164" i="2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B168" i="2"/>
  <c r="B167" i="2"/>
  <c r="B172" i="2"/>
  <c r="B171" i="2"/>
  <c r="B176" i="2"/>
  <c r="B175" i="2"/>
  <c r="B173" i="2"/>
  <c r="B169" i="2"/>
  <c r="B165" i="2"/>
  <c r="E178" i="2"/>
  <c r="B162" i="2"/>
  <c r="A162" i="2" s="1"/>
  <c r="L183" i="2" l="1"/>
  <c r="L185" i="2" s="1"/>
  <c r="P185" i="2" s="1"/>
  <c r="L184" i="2"/>
  <c r="P184" i="2" s="1"/>
  <c r="P165" i="2"/>
  <c r="P167" i="2"/>
  <c r="P177" i="2"/>
  <c r="P179" i="2"/>
  <c r="P181" i="2"/>
  <c r="P164" i="2"/>
  <c r="P166" i="2"/>
  <c r="P168" i="2"/>
  <c r="P170" i="2"/>
  <c r="P172" i="2"/>
  <c r="P174" i="2"/>
  <c r="P176" i="2"/>
  <c r="P178" i="2"/>
  <c r="P180" i="2"/>
  <c r="P182" i="2"/>
  <c r="P183" i="2"/>
  <c r="R150" i="2" l="1"/>
  <c r="R146" i="2"/>
  <c r="R142" i="2"/>
  <c r="E142" i="2"/>
  <c r="H142" i="2"/>
  <c r="E144" i="2"/>
  <c r="I144" i="2"/>
  <c r="H144" i="2" s="1"/>
  <c r="J144" i="2"/>
  <c r="E146" i="2"/>
  <c r="H146" i="2"/>
  <c r="E148" i="2"/>
  <c r="I148" i="2"/>
  <c r="H148" i="2" s="1"/>
  <c r="J148" i="2"/>
  <c r="E150" i="2"/>
  <c r="H150" i="2"/>
  <c r="E152" i="2"/>
  <c r="I152" i="2"/>
  <c r="H152" i="2" s="1"/>
  <c r="J152" i="2"/>
  <c r="E155" i="2"/>
  <c r="B139" i="2"/>
  <c r="A139" i="2" s="1"/>
  <c r="E119" i="2" l="1"/>
  <c r="E130" i="2" l="1"/>
  <c r="J127" i="2"/>
  <c r="I127" i="2"/>
  <c r="H127" i="2" s="1"/>
  <c r="E127" i="2"/>
  <c r="J123" i="2"/>
  <c r="I123" i="2"/>
  <c r="H123" i="2" s="1"/>
  <c r="J119" i="2"/>
  <c r="I119" i="2"/>
  <c r="H119" i="2" s="1"/>
  <c r="E123" i="2" l="1"/>
  <c r="H125" i="2"/>
  <c r="E125" i="2"/>
  <c r="H121" i="2"/>
  <c r="E121" i="2"/>
  <c r="H117" i="2"/>
  <c r="E117" i="2"/>
  <c r="B114" i="2"/>
  <c r="A114" i="2" s="1"/>
  <c r="E109" i="2" l="1"/>
  <c r="H108" i="2"/>
  <c r="E108" i="2"/>
  <c r="H107" i="2"/>
  <c r="E107" i="2"/>
  <c r="H106" i="2"/>
  <c r="E106" i="2"/>
  <c r="H102" i="2"/>
  <c r="E102" i="2"/>
  <c r="H101" i="2"/>
  <c r="E101" i="2"/>
  <c r="H100" i="2"/>
  <c r="E100" i="2"/>
  <c r="B99" i="2"/>
  <c r="A99" i="2" s="1"/>
  <c r="H93" i="2" l="1"/>
  <c r="H92" i="2"/>
  <c r="H91" i="2"/>
  <c r="E94" i="2" l="1"/>
  <c r="E93" i="2" l="1"/>
  <c r="E92" i="2"/>
  <c r="E91" i="2"/>
  <c r="H87" i="2"/>
  <c r="E87" i="2"/>
  <c r="H86" i="2"/>
  <c r="E86" i="2"/>
  <c r="H85" i="2"/>
  <c r="E85" i="2"/>
  <c r="B84" i="2"/>
  <c r="A84" i="2" s="1"/>
  <c r="E81" i="2" l="1"/>
  <c r="H76" i="2"/>
  <c r="E76" i="2"/>
  <c r="H75" i="2"/>
  <c r="E75" i="2"/>
  <c r="H74" i="2"/>
  <c r="E74" i="2"/>
  <c r="H70" i="2"/>
  <c r="E70" i="2"/>
  <c r="H69" i="2"/>
  <c r="E69" i="2"/>
  <c r="H68" i="2"/>
  <c r="E68" i="2"/>
  <c r="B67" i="2"/>
  <c r="A67" i="2" s="1"/>
  <c r="H59" i="2" l="1"/>
  <c r="H58" i="2"/>
  <c r="H57" i="2"/>
  <c r="H53" i="2"/>
  <c r="E53" i="2"/>
  <c r="H51" i="2"/>
  <c r="E59" i="2"/>
  <c r="E58" i="2"/>
  <c r="E57" i="2"/>
  <c r="H52" i="2"/>
  <c r="E52" i="2"/>
  <c r="E51" i="2"/>
  <c r="E64" i="2" l="1"/>
  <c r="B50" i="2"/>
  <c r="A50" i="2" s="1"/>
  <c r="E47" i="2" l="1"/>
  <c r="H46" i="2"/>
  <c r="E46" i="2"/>
  <c r="H45" i="2"/>
  <c r="E45" i="2"/>
  <c r="B44" i="2"/>
  <c r="A44" i="2" s="1"/>
  <c r="H41" i="2" l="1"/>
  <c r="H36" i="2"/>
  <c r="H31" i="2"/>
  <c r="H26" i="2"/>
  <c r="H21" i="2"/>
  <c r="H16" i="2"/>
  <c r="H40" i="2" l="1"/>
  <c r="H35" i="2"/>
  <c r="H30" i="2"/>
  <c r="H25" i="2"/>
  <c r="B19" i="2"/>
  <c r="A19" i="2" s="1"/>
  <c r="E42" i="2"/>
  <c r="E41" i="2"/>
  <c r="E40" i="2"/>
  <c r="B39" i="2"/>
  <c r="A39" i="2" s="1"/>
  <c r="E37" i="2"/>
  <c r="E36" i="2"/>
  <c r="E35" i="2"/>
  <c r="B34" i="2"/>
  <c r="A34" i="2" s="1"/>
  <c r="E27" i="2"/>
  <c r="E26" i="2"/>
  <c r="E25" i="2"/>
  <c r="B24" i="2"/>
  <c r="A24" i="2" s="1"/>
  <c r="E22" i="2"/>
  <c r="E21" i="2"/>
  <c r="H20" i="2"/>
  <c r="E20" i="2"/>
  <c r="H15" i="2"/>
  <c r="E15" i="2" l="1"/>
  <c r="E31" i="2"/>
  <c r="E32" i="2"/>
  <c r="E17" i="2"/>
  <c r="E16" i="2"/>
  <c r="E30" i="2"/>
  <c r="B29" i="2" l="1"/>
  <c r="A29" i="2" s="1"/>
  <c r="B14" i="2" l="1"/>
  <c r="A14" i="2" s="1"/>
</calcChain>
</file>

<file path=xl/sharedStrings.xml><?xml version="1.0" encoding="utf-8"?>
<sst xmlns="http://schemas.openxmlformats.org/spreadsheetml/2006/main" count="2613" uniqueCount="273">
  <si>
    <t>M = 1000/R</t>
  </si>
  <si>
    <t>datafilesbelowhere</t>
  </si>
  <si>
    <t>newcalibration</t>
  </si>
  <si>
    <t>Station</t>
  </si>
  <si>
    <t>Latitude</t>
  </si>
  <si>
    <t>Altitude</t>
  </si>
  <si>
    <t>u95%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</si>
  <si>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</si>
  <si>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</si>
  <si>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</si>
  <si>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</si>
  <si>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</si>
  <si>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</si>
  <si>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</si>
  <si>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13</t>
  </si>
  <si>
    <t>Column 14</t>
  </si>
  <si>
    <t>Column 15</t>
  </si>
  <si>
    <t>StationName</t>
  </si>
  <si>
    <t>StationIDNumber</t>
  </si>
  <si>
    <t>Longitude (+ east)</t>
  </si>
  <si>
    <t>TimeZone (+ east)</t>
  </si>
  <si>
    <t>STW</t>
  </si>
  <si>
    <t>Seattle_Washington_USA</t>
  </si>
  <si>
    <t>Generates the PRN files (values from the program</t>
  </si>
  <si>
    <t>R = 1000/M</t>
  </si>
  <si>
    <t>Generates the .txt files (files in the folder "process"</t>
  </si>
  <si>
    <t>From 2016+ calibration method</t>
  </si>
  <si>
    <t>NOTES on PRN values</t>
  </si>
  <si>
    <t>NOTES on .txt values</t>
  </si>
  <si>
    <t>NOTES on 2016+ calibrations</t>
  </si>
  <si>
    <t>2015-09-30--23:00</t>
  </si>
  <si>
    <t>2017-08-01--11:40</t>
  </si>
  <si>
    <t>Temperature(STW)</t>
  </si>
  <si>
    <t>TEMP(STW)</t>
  </si>
  <si>
    <t>PSP(4)</t>
  </si>
  <si>
    <t>PSP(10)</t>
  </si>
  <si>
    <t>NIP(17009E6)</t>
  </si>
  <si>
    <t>NIP(11)</t>
  </si>
  <si>
    <t>R = computed from M</t>
  </si>
  <si>
    <t>M = From 2015 program</t>
  </si>
  <si>
    <t>M = From 2017 program</t>
  </si>
  <si>
    <t>-</t>
  </si>
  <si>
    <t>M = Computed from R</t>
  </si>
  <si>
    <t>Not enough information to change yet</t>
  </si>
  <si>
    <t>Educated guess</t>
  </si>
  <si>
    <t>2016-01-01--00:01</t>
  </si>
  <si>
    <t>2017-01-01--00:01</t>
  </si>
  <si>
    <t>2018-01-01--00:01</t>
  </si>
  <si>
    <t>2019-01-01--00:01</t>
  </si>
  <si>
    <t>R = From Step4 R(2009-2018) 2018.0</t>
  </si>
  <si>
    <t>R = From Step4 R(2001-2015) 2017.5</t>
  </si>
  <si>
    <t>R = From Step4 R(2001-2015) 2016.5</t>
  </si>
  <si>
    <t>R = From Step4 R(2001-2015) 2016.0</t>
  </si>
  <si>
    <t>U95% = From Step4 R(2001-2015) 2016.0</t>
  </si>
  <si>
    <t>U95% = From Step4 R(2001-2015) 2016.5</t>
  </si>
  <si>
    <t>U95% = From Step4 R(2001-2015) 2017.5</t>
  </si>
  <si>
    <t>U95% = From Step4 R(2009-2018) 2018.0</t>
  </si>
  <si>
    <t>R = From Step4 R(2009-2018) 2018.5</t>
  </si>
  <si>
    <t>U95% = From Step4 R(2009-2018) 2018.5</t>
  </si>
  <si>
    <t>U95% = From Step4 R(2009-2018) 2019.5</t>
  </si>
  <si>
    <t>R = From Step4 R(2009-2018) 2016.0</t>
  </si>
  <si>
    <t>From Step4 R(2009-2018) 2016.0</t>
  </si>
  <si>
    <t>R = From Step4 R(2009-2018) 2016.5</t>
  </si>
  <si>
    <t>From Step4 R(2009-2018) 2016.5</t>
  </si>
  <si>
    <t>R = From Step4 R(2009-2018) 2017.5</t>
  </si>
  <si>
    <t>From Step4 R(2009-2018) 2017.5</t>
  </si>
  <si>
    <t>From Step4 R(2009-2018) 2018.0</t>
  </si>
  <si>
    <t>From Step4 R(2009-2018) 2018.5</t>
  </si>
  <si>
    <t>From Step4 R(2009-2018) 2019.5</t>
  </si>
  <si>
    <t>R = From Step4 R(2009-2018), year = 2019.5</t>
  </si>
  <si>
    <t>M = From program "STW17_1min.csi"</t>
  </si>
  <si>
    <t>2020-01-01--00:01</t>
  </si>
  <si>
    <t>NA</t>
  </si>
  <si>
    <t>PSP(17846F3)_(04)_(STW).xlsx \ R(2009-2018)_2020.5</t>
  </si>
  <si>
    <t>Voltage</t>
  </si>
  <si>
    <t>Junk</t>
  </si>
  <si>
    <t>NIP(17009E6)_(11)_(STW).xlsx \ R(2009-2018)</t>
  </si>
  <si>
    <t>STW17_1MIN.CSI</t>
  </si>
  <si>
    <t>1000_SD</t>
  </si>
  <si>
    <t>2010_SD</t>
  </si>
  <si>
    <t>3000_SD</t>
  </si>
  <si>
    <t>PIR_Net_V</t>
  </si>
  <si>
    <t>PIR_Case_R</t>
  </si>
  <si>
    <t>PIR_Dome_R</t>
  </si>
  <si>
    <t>PIR(30923F3)</t>
  </si>
  <si>
    <t>PSP(17053F3)</t>
  </si>
  <si>
    <t>PSP(21)</t>
  </si>
  <si>
    <t>PIR_Net_I</t>
  </si>
  <si>
    <t>PIR_Case(Temp)</t>
  </si>
  <si>
    <t>PIR_Dome(Temp)</t>
  </si>
  <si>
    <t>GHI_Stdev</t>
  </si>
  <si>
    <t>NIP(17009E6)_Stdev</t>
  </si>
  <si>
    <t>PSP(17053F3)_Stdev</t>
  </si>
  <si>
    <t>DNI_Stdev</t>
  </si>
  <si>
    <t>DHI_Stdev</t>
  </si>
  <si>
    <t>STW_2020-08-06.CSI</t>
  </si>
  <si>
    <t>PIR_DW_I</t>
  </si>
  <si>
    <t>PIR(30923F3)_NET_I</t>
  </si>
  <si>
    <t>PIR(30923F3)_DW_I</t>
  </si>
  <si>
    <t>PIR(30923F3)_Case(Temp)</t>
  </si>
  <si>
    <t>PIR(30923F3)_Dome(Temp)</t>
  </si>
  <si>
    <t>PSP(17053F3)_(21).xlsx \R(2010-2019)</t>
  </si>
  <si>
    <t>No reason to change</t>
  </si>
  <si>
    <t xml:space="preserve">The PIR has not been calibrated in a long time. </t>
  </si>
  <si>
    <t>1/T = A + B Ln( R) + C Ln( R)^3, A = 1.0295*10^-3, B = 2.391*10^-4, C = 1.568*10^-7</t>
  </si>
  <si>
    <t xml:space="preserve">PIR_DW_I = (PIR_net_I) + (1 * sigma (Tcase^4)) + (4 * sigma (Tdome^4 - Tcase^4)), </t>
  </si>
  <si>
    <t>NOTE that the PIR_case resistiance is given in kiloohms (not Ohms)</t>
  </si>
  <si>
    <t>NOTE that the PIR_Dome resistiance is given in kiloohms (not Ohms)</t>
  </si>
  <si>
    <t>C36 = Mused/Mshouldbe * 36</t>
  </si>
  <si>
    <t>2020-08-01--00:01</t>
  </si>
  <si>
    <t>2021-01-01--00:01</t>
  </si>
  <si>
    <t>NIP(17009E6)_(11)_(STW).xlsx \ R(2015-2020)</t>
  </si>
  <si>
    <t>PSP(17053F3)_(21).xlsx \R(2011-2020)\2021.5</t>
  </si>
  <si>
    <t>PSP(17846F3)_(04)_(STW).xlsx \ R(2010-2020) \2021.5</t>
  </si>
  <si>
    <t>Multiplier (In program)</t>
  </si>
  <si>
    <t>Rused ( In Program)</t>
  </si>
  <si>
    <t>M</t>
  </si>
  <si>
    <t>R(secondary)  (to generate txt file) (may not be accurate) (from sitefile)</t>
  </si>
  <si>
    <t>Multiplier (should be)</t>
  </si>
  <si>
    <t>R(shouldbe) (From 2016 calibrations)</t>
  </si>
  <si>
    <t>GHI_PSP(4)</t>
  </si>
  <si>
    <t>DNI_NIP(11)</t>
  </si>
  <si>
    <t>DHI_PSP(21)</t>
  </si>
  <si>
    <t>GHI_PSP(4)_Stdev</t>
  </si>
  <si>
    <t>DNI_NIP(11)_Stdev</t>
  </si>
  <si>
    <t>DHI_PSP(21)_Stdev</t>
  </si>
  <si>
    <t>TEMP_STW</t>
  </si>
  <si>
    <t>2021-07-01--00:01</t>
  </si>
  <si>
    <t>SR20(5218)</t>
  </si>
  <si>
    <t>DHI_SR20(5218)</t>
  </si>
  <si>
    <t>GHI_SR20(4764)</t>
  </si>
  <si>
    <t>SR20(4764)</t>
  </si>
  <si>
    <t>SR20(4764)_Irr</t>
  </si>
  <si>
    <t>NIP(17009E6)_Irr</t>
  </si>
  <si>
    <t>SR20(5218)_Irr</t>
  </si>
  <si>
    <t>GHI_SR20(4764)_Irr</t>
  </si>
  <si>
    <t>DNI_NIP(11)_Irr</t>
  </si>
  <si>
    <t>DHI_SR20(5218)_Irr</t>
  </si>
  <si>
    <t>SR20(4764)_Stdev</t>
  </si>
  <si>
    <t>SR20(5218)_Stdev</t>
  </si>
  <si>
    <t>GHI_SR20(4764)_Stdev</t>
  </si>
  <si>
    <t>DHI_SR20(5218)_Stdev</t>
  </si>
  <si>
    <t>SR20(4764)_Temp</t>
  </si>
  <si>
    <t>SR20(5218)_Temp</t>
  </si>
  <si>
    <t>GHI_SR20(4764)_Temp</t>
  </si>
  <si>
    <t>DHI_SR20(5218)_Temp</t>
  </si>
  <si>
    <t>STW_2021-07-12.CSI</t>
  </si>
  <si>
    <t>SR20_4764(STW_GHI).xlsx \ R(2021-2021)</t>
  </si>
  <si>
    <t>SR20_5218(STW_DHI).xlsx \ R(2021-2021)</t>
  </si>
  <si>
    <t>The prn of the first 15 days of the 2021-07 were edited so that the previous PSP data was mimiked as a the new SR20 instrument</t>
  </si>
  <si>
    <t>STW_2022-07-25.CR6</t>
  </si>
  <si>
    <t>2022-07-19--12:46</t>
  </si>
  <si>
    <t>SR20_4764(STW_GHI).xlsx \ R(2021-2022)</t>
  </si>
  <si>
    <t>NIP(17009E6)_(11)_(STW).xlsx \ R(2015-2022)</t>
  </si>
  <si>
    <t>SR20_5218(STW_DHI).xlsx \ R(2021-2022)</t>
  </si>
  <si>
    <t>2024-02-01--00:01</t>
  </si>
  <si>
    <t>SZA_Logger</t>
  </si>
  <si>
    <t>AZM_Logger</t>
  </si>
  <si>
    <t>GHI_Calc_Logger</t>
  </si>
  <si>
    <t>Battery_Voltage</t>
  </si>
  <si>
    <t>Logger_Temperature</t>
  </si>
  <si>
    <t>SR20(4764)_Irr_Stdev</t>
  </si>
  <si>
    <t>GHI_SR20(4764)_Irr_Stdev</t>
  </si>
  <si>
    <t>NIP(17009E6)_Irr_Stdev</t>
  </si>
  <si>
    <t>DNI_NIP(11)_Irr_Stdev</t>
  </si>
  <si>
    <t>SR20(5218)_Irr_Stdev</t>
  </si>
  <si>
    <t>DHI_SR20(5218)_Irr_Stdev</t>
  </si>
  <si>
    <t>Blank</t>
  </si>
  <si>
    <t>SR20(4764)_mv_nonTC</t>
  </si>
  <si>
    <t>GHI_SR20(4764)_mv_nonTC</t>
  </si>
  <si>
    <t>SR20(5218)_mv_nonTC</t>
  </si>
  <si>
    <t>DHI_SR20(5218)_mv_nonTC</t>
  </si>
  <si>
    <t>STW_2024-02-11.CR6</t>
  </si>
  <si>
    <t>SR20_4764(STW_GHI).xlsx \ R(2021-2023)</t>
  </si>
  <si>
    <t>NIP(17009E6)_(11)_(STW).xlsx \ R(2015-2023)</t>
  </si>
  <si>
    <t>SR20_5218(STW_DHI).xlsx \ R(2021-2023)</t>
  </si>
  <si>
    <t>2024-08-01--00:01</t>
  </si>
  <si>
    <t>CMP11(151961)</t>
  </si>
  <si>
    <t>CMP11(151960)</t>
  </si>
  <si>
    <t>CMP11(151961)_Irr</t>
  </si>
  <si>
    <t>CMP11(151961)_Stdev</t>
  </si>
  <si>
    <t>CMP11(151961)_Irr_Stdev</t>
  </si>
  <si>
    <t>CMP11(151960)_Irr</t>
  </si>
  <si>
    <t>CMP11(151960)_Stdev</t>
  </si>
  <si>
    <t>CMP11(151960)_Irr_Stdev</t>
  </si>
  <si>
    <t>NIP(27087E6)</t>
  </si>
  <si>
    <t>NIP(27087E6)_Irr</t>
  </si>
  <si>
    <t>NIP(27087E6)_Stdev</t>
  </si>
  <si>
    <t>NIP(27087E6)_Irr_Stdev</t>
  </si>
  <si>
    <t>CMP11(151961).xlsx \ R(2024.5)</t>
  </si>
  <si>
    <t>NIP(27087E6).xlsx \ R(2024.5)</t>
  </si>
  <si>
    <t>CMP11(151960).xlsx \ R(2024.5)</t>
  </si>
  <si>
    <t>GHI_VentStatus</t>
  </si>
  <si>
    <t>DHI_VentStatus</t>
  </si>
  <si>
    <t>2025-08-01--00:01</t>
  </si>
  <si>
    <t>Maintenance_Button</t>
  </si>
  <si>
    <t>Sensor Calibration .xslx_2025</t>
  </si>
  <si>
    <t>STW_2025-08-15.cr1</t>
  </si>
  <si>
    <t>CMP11(128907)</t>
  </si>
  <si>
    <t>CMP11(128906)</t>
  </si>
  <si>
    <t>Entry</t>
  </si>
  <si>
    <t>Year</t>
  </si>
  <si>
    <t>Month</t>
  </si>
  <si>
    <t>Day</t>
  </si>
  <si>
    <t>Hour</t>
  </si>
  <si>
    <t>Minute</t>
  </si>
  <si>
    <t>Column</t>
  </si>
  <si>
    <t>Measurment</t>
  </si>
  <si>
    <t>Sensor</t>
  </si>
  <si>
    <t>Serial Number</t>
  </si>
  <si>
    <t>R_program</t>
  </si>
  <si>
    <t>R_should_be</t>
  </si>
  <si>
    <t>Uncertainty</t>
  </si>
  <si>
    <t>GHI</t>
  </si>
  <si>
    <t>CMP11</t>
  </si>
  <si>
    <t>mV</t>
  </si>
  <si>
    <t>23620F3</t>
  </si>
  <si>
    <t>17846F3</t>
  </si>
  <si>
    <t>17053F3</t>
  </si>
  <si>
    <t>30923F3</t>
  </si>
  <si>
    <t>17009E6</t>
  </si>
  <si>
    <t>27087E6</t>
  </si>
  <si>
    <t>SZA</t>
  </si>
  <si>
    <t>Logger</t>
  </si>
  <si>
    <t>AZM</t>
  </si>
  <si>
    <t>DNI</t>
  </si>
  <si>
    <t>DHI</t>
  </si>
  <si>
    <t>Calc_Logger</t>
  </si>
  <si>
    <t>TEMP</t>
  </si>
  <si>
    <t>VentStatus</t>
  </si>
  <si>
    <t>PIR</t>
  </si>
  <si>
    <t>Net_V</t>
  </si>
  <si>
    <t>Case_R</t>
  </si>
  <si>
    <t>Dome_R</t>
  </si>
  <si>
    <t>Net_I</t>
  </si>
  <si>
    <t>DW_I</t>
  </si>
  <si>
    <t>Case(Temp)</t>
  </si>
  <si>
    <t>Dome(Temp)</t>
  </si>
  <si>
    <t>Stdev</t>
  </si>
  <si>
    <t>Metric</t>
  </si>
  <si>
    <t>mV_Stdev</t>
  </si>
  <si>
    <t>Irr_Stdev</t>
  </si>
  <si>
    <t>Irr</t>
  </si>
  <si>
    <t>mv_nonTC</t>
  </si>
  <si>
    <t>Temp</t>
  </si>
  <si>
    <t>M_program</t>
  </si>
  <si>
    <t>M_should_be</t>
  </si>
  <si>
    <t>NIP</t>
  </si>
  <si>
    <t>SR20</t>
  </si>
  <si>
    <t>GHI_PSP(23620F3)</t>
  </si>
  <si>
    <t>GHI_PSP(17846F3)</t>
  </si>
  <si>
    <t>GHI_PSP(17846F3)_Stdev</t>
  </si>
  <si>
    <t>GHI_PSP(17053F3)_Stdev</t>
  </si>
  <si>
    <t>128906</t>
  </si>
  <si>
    <t/>
  </si>
  <si>
    <t>5218</t>
  </si>
  <si>
    <t>Datetime</t>
  </si>
  <si>
    <t>09/30/2015 23:00</t>
  </si>
  <si>
    <t>01/01/2016 00:01</t>
  </si>
  <si>
    <t>01/01/2017 00:01</t>
  </si>
  <si>
    <t>08/01/2017 11:40</t>
  </si>
  <si>
    <t>01/01/2018 00:01</t>
  </si>
  <si>
    <t>01/01/2019 00:01</t>
  </si>
  <si>
    <t>01/01/2020 00:01</t>
  </si>
  <si>
    <t>01/01/2021 00:01</t>
  </si>
  <si>
    <t>07/01/2021 00:01</t>
  </si>
  <si>
    <t>07/19/2022 12:46</t>
  </si>
  <si>
    <t>02/01/2024 00:01</t>
  </si>
  <si>
    <t>08/01/2024 00:01</t>
  </si>
  <si>
    <t>08/01/2025 00:01</t>
  </si>
  <si>
    <t>151960</t>
  </si>
  <si>
    <t>08/12/2020 11:35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</si>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</sst>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"/>
    <numFmt numFmtId="165" formatCode="0.0000"/>
    <numFmt numFmtId="166" formatCode="0.000000"/>
    <numFmt numFmtId="167" formatCode="0.00000"/>
    <numFmt numFmtId="168" formatCode="0.0"/>
    <numFmt numFmtId="169" formatCode="0.000000000000"/>
    <numFmt numFmtId="170" formatCode="0.0000000000000"/>
    <numFmt numFmtId="171" formatCode="0.00000000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81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 applyAlignment="1">
      <alignment wrapText="1"/>
    </xf>
    <xf numFmtId="0" fontId="0" fillId="33" borderId="10" xfId="0" applyFill="1" applyBorder="1"/>
    <xf numFmtId="0" fontId="0" fillId="34" borderId="10" xfId="0" applyFill="1" applyBorder="1"/>
    <xf numFmtId="0" fontId="0" fillId="0" borderId="10" xfId="0" applyBorder="1" applyAlignment="1">
      <alignment wrapText="1"/>
    </xf>
    <xf numFmtId="0" fontId="0" fillId="34" borderId="10" xfId="0" applyFill="1" applyBorder="1" applyAlignment="1">
      <alignment wrapText="1"/>
    </xf>
    <xf numFmtId="167" fontId="0" fillId="0" borderId="10" xfId="0" applyNumberFormat="1" applyBorder="1"/>
    <xf numFmtId="168" fontId="0" fillId="0" borderId="10" xfId="0" applyNumberFormat="1" applyBorder="1"/>
    <xf numFmtId="169" fontId="0" fillId="0" borderId="10" xfId="0" applyNumberFormat="1" applyBorder="1"/>
    <xf numFmtId="164" fontId="0" fillId="0" borderId="0" xfId="0" applyNumberFormat="1"/>
    <xf numFmtId="0" fontId="0" fillId="35" borderId="10" xfId="0" applyFill="1" applyBorder="1" applyAlignment="1">
      <alignment wrapText="1"/>
    </xf>
    <xf numFmtId="0" fontId="16" fillId="36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wrapText="1"/>
    </xf>
    <xf numFmtId="0" fontId="0" fillId="36" borderId="10" xfId="0" applyFill="1" applyBorder="1"/>
    <xf numFmtId="1" fontId="0" fillId="0" borderId="10" xfId="0" applyNumberFormat="1" applyBorder="1"/>
    <xf numFmtId="0" fontId="0" fillId="35" borderId="10" xfId="0" applyFill="1" applyBorder="1"/>
    <xf numFmtId="165" fontId="0" fillId="35" borderId="10" xfId="0" applyNumberFormat="1" applyFill="1" applyBorder="1"/>
    <xf numFmtId="165" fontId="0" fillId="34" borderId="10" xfId="0" applyNumberFormat="1" applyFill="1" applyBorder="1"/>
    <xf numFmtId="170" fontId="0" fillId="0" borderId="10" xfId="0" applyNumberFormat="1" applyBorder="1"/>
    <xf numFmtId="171" fontId="0" fillId="0" borderId="10" xfId="0" applyNumberFormat="1" applyBorder="1"/>
    <xf numFmtId="0" fontId="18" fillId="0" borderId="0" xfId="42"/>
    <xf numFmtId="166" fontId="18" fillId="0" borderId="0" xfId="42" applyNumberFormat="1"/>
    <xf numFmtId="0" fontId="0" fillId="38" borderId="0" xfId="0" applyFill="1"/>
    <xf numFmtId="0" fontId="0" fillId="38" borderId="10" xfId="0" applyFill="1" applyBorder="1"/>
    <xf numFmtId="0" fontId="0" fillId="39" borderId="10" xfId="0" applyFill="1" applyBorder="1"/>
    <xf numFmtId="0" fontId="0" fillId="37" borderId="13" xfId="0" applyFill="1" applyBorder="1"/>
    <xf numFmtId="166" fontId="0" fillId="0" borderId="0" xfId="0" applyNumberFormat="1"/>
    <xf numFmtId="0" fontId="0" fillId="40" borderId="10" xfId="0" applyFill="1" applyBorder="1" applyAlignment="1">
      <alignment wrapText="1"/>
    </xf>
    <xf numFmtId="0" fontId="0" fillId="41" borderId="10" xfId="0" applyFill="1" applyBorder="1" applyAlignment="1">
      <alignment wrapText="1"/>
    </xf>
    <xf numFmtId="0" fontId="0" fillId="42" borderId="10" xfId="0" applyFill="1" applyBorder="1" applyAlignment="1">
      <alignment wrapText="1"/>
    </xf>
    <xf numFmtId="0" fontId="0" fillId="40" borderId="10" xfId="0" applyFill="1" applyBorder="1"/>
    <xf numFmtId="0" fontId="0" fillId="41" borderId="10" xfId="0" applyFill="1" applyBorder="1"/>
    <xf numFmtId="0" fontId="0" fillId="42" borderId="10" xfId="0" applyFill="1" applyBorder="1"/>
    <xf numFmtId="1" fontId="0" fillId="38" borderId="10" xfId="0" applyNumberFormat="1" applyFill="1" applyBorder="1"/>
    <xf numFmtId="169" fontId="0" fillId="38" borderId="10" xfId="0" applyNumberFormat="1" applyFill="1" applyBorder="1"/>
    <xf numFmtId="0" fontId="0" fillId="38" borderId="10" xfId="0" applyFill="1" applyBorder="1" applyAlignment="1">
      <alignment wrapText="1"/>
    </xf>
    <xf numFmtId="0" fontId="0" fillId="38" borderId="14" xfId="0" applyFill="1" applyBorder="1"/>
    <xf numFmtId="0" fontId="0" fillId="38" borderId="15" xfId="0" applyFill="1" applyBorder="1"/>
    <xf numFmtId="165" fontId="0" fillId="38" borderId="0" xfId="0" applyNumberFormat="1" applyFill="1"/>
    <xf numFmtId="165" fontId="0" fillId="38" borderId="10" xfId="0" applyNumberFormat="1" applyFill="1" applyBorder="1"/>
    <xf numFmtId="0" fontId="0" fillId="43" borderId="10" xfId="0" applyFill="1" applyBorder="1" applyAlignment="1">
      <alignment wrapText="1"/>
    </xf>
    <xf numFmtId="0" fontId="0" fillId="43" borderId="10" xfId="0" applyFill="1" applyBorder="1"/>
    <xf numFmtId="0" fontId="19" fillId="38" borderId="0" xfId="0" applyFont="1" applyFill="1"/>
    <xf numFmtId="0" fontId="0" fillId="43" borderId="0" xfId="0" applyFill="1"/>
    <xf numFmtId="0" fontId="16" fillId="43" borderId="10" xfId="0" applyFont="1" applyFill="1" applyBorder="1" applyAlignment="1">
      <alignment horizontal="center" vertical="center" wrapText="1"/>
    </xf>
    <xf numFmtId="0" fontId="0" fillId="0" borderId="13" xfId="0" applyBorder="1"/>
    <xf numFmtId="165" fontId="0" fillId="43" borderId="10" xfId="0" applyNumberFormat="1" applyFill="1" applyBorder="1"/>
    <xf numFmtId="0" fontId="13" fillId="44" borderId="16" xfId="0" applyFont="1" applyFill="1" applyBorder="1"/>
    <xf numFmtId="0" fontId="13" fillId="44" borderId="17" xfId="0" applyFont="1" applyFill="1" applyBorder="1"/>
    <xf numFmtId="0" fontId="13" fillId="44" borderId="18" xfId="0" applyFont="1" applyFill="1" applyBorder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13" fillId="44" borderId="0" xfId="0" applyFont="1" applyFill="1"/>
    <xf numFmtId="0" fontId="0" fillId="0" borderId="19" xfId="0" applyBorder="1"/>
    <xf numFmtId="0" fontId="0" fillId="45" borderId="19" xfId="0" applyFill="1" applyBorder="1"/>
    <xf numFmtId="1" fontId="0" fillId="45" borderId="19" xfId="0" applyNumberFormat="1" applyFill="1" applyBorder="1"/>
    <xf numFmtId="2" fontId="0" fillId="45" borderId="19" xfId="0" applyNumberFormat="1" applyFill="1" applyBorder="1"/>
    <xf numFmtId="0" fontId="13" fillId="44" borderId="20" xfId="0" applyFont="1" applyFill="1" applyBorder="1"/>
    <xf numFmtId="0" fontId="13" fillId="44" borderId="21" xfId="0" applyFont="1" applyFill="1" applyBorder="1"/>
    <xf numFmtId="0" fontId="21" fillId="46" borderId="22" xfId="0" applyFont="1" applyFill="1" applyBorder="1"/>
    <xf numFmtId="0" fontId="22" fillId="47" borderId="23" xfId="0" applyFont="1" applyFill="1" applyBorder="1"/>
    <xf numFmtId="0" fontId="22" fillId="48" borderId="23" xfId="0" applyFont="1" applyFill="1" applyBorder="1"/>
    <xf numFmtId="49" fontId="22" fillId="47" borderId="23" xfId="0" applyNumberFormat="1" applyFont="1" applyFill="1" applyBorder="1"/>
    <xf numFmtId="49" fontId="22" fillId="48" borderId="23" xfId="0" applyNumberFormat="1" applyFont="1" applyFill="1" applyBorder="1"/>
    <xf numFmtId="0" fontId="22" fillId="48" borderId="24" xfId="0" applyFont="1" applyFill="1" applyBorder="1"/>
    <xf numFmtId="49" fontId="22" fillId="48" borderId="24" xfId="0" applyNumberFormat="1" applyFont="1" applyFill="1" applyBorder="1"/>
    <xf numFmtId="0" fontId="22" fillId="47" borderId="24" xfId="0" applyFont="1" applyFill="1" applyBorder="1"/>
    <xf numFmtId="49" fontId="22" fillId="47" borderId="24" xfId="0" applyNumberFormat="1" applyFont="1" applyFill="1" applyBorder="1"/>
    <xf numFmtId="0" fontId="16" fillId="0" borderId="0" xfId="0" applyFont="1"/>
    <xf numFmtId="0" fontId="22" fillId="48" borderId="25" xfId="0" applyFont="1" applyFill="1" applyBorder="1"/>
    <xf numFmtId="0" fontId="22" fillId="48" borderId="27" xfId="0" applyFont="1" applyFill="1" applyBorder="1"/>
    <xf numFmtId="0" fontId="22" fillId="47" borderId="25" xfId="0" applyFont="1" applyFill="1" applyBorder="1"/>
    <xf numFmtId="0" fontId="22" fillId="47" borderId="27" xfId="0" applyFont="1" applyFill="1" applyBorder="1"/>
    <xf numFmtId="0" fontId="22" fillId="48" borderId="26" xfId="0" applyFont="1" applyFill="1" applyBorder="1"/>
    <xf numFmtId="0" fontId="16" fillId="33" borderId="10" xfId="0" applyFont="1" applyFill="1" applyBorder="1" applyAlignment="1">
      <alignment horizontal="center" vertical="center" wrapText="1"/>
    </xf>
    <xf numFmtId="0" fontId="16" fillId="43" borderId="10" xfId="0" applyFont="1" applyFill="1" applyBorder="1" applyAlignment="1">
      <alignment horizontal="center" vertical="center" wrapText="1"/>
    </xf>
    <xf numFmtId="0" fontId="16" fillId="35" borderId="11" xfId="0" applyFont="1" applyFill="1" applyBorder="1" applyAlignment="1">
      <alignment horizontal="center" vertical="center" wrapText="1"/>
    </xf>
    <xf numFmtId="0" fontId="16" fillId="35" borderId="12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8">
    <dxf>
      <border outline="0">
        <top style="thin">
          <color rgb="FF95B3D7"/>
        </top>
      </border>
    </dxf>
    <dxf>
      <border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F81BD"/>
        </patternFill>
      </fill>
    </dxf>
    <dxf>
      <border outline="0">
        <top style="thin">
          <color rgb="FF95B3D7"/>
        </top>
      </border>
    </dxf>
    <dxf>
      <border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border outline="0">
        <top style="thin">
          <color rgb="FF95B3D7"/>
        </top>
      </border>
    </dxf>
    <dxf>
      <border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border outline="0">
        <top style="thin">
          <color rgb="FF95B3D7"/>
        </top>
      </border>
    </dxf>
    <dxf>
      <border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border outline="0">
        <top style="thin">
          <color rgb="FF95B3D7"/>
        </top>
      </border>
    </dxf>
    <dxf>
      <border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CE6F1"/>
        </patternFill>
      </fill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border outline="0">
        <top style="thin">
          <color rgb="FF95B3D7"/>
        </top>
      </border>
    </dxf>
    <dxf>
      <border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925A3-25D5-44FE-86CD-400C1F61249F}" name="Table3" displayName="Table3" ref="A1:P147" totalsRowShown="0" headerRowDxfId="97">
  <autoFilter ref="A1:P147" xr:uid="{718925A3-25D5-44FE-86CD-400C1F61249F}"/>
  <sortState xmlns:xlrd2="http://schemas.microsoft.com/office/spreadsheetml/2017/richdata2" ref="A2:M147">
    <sortCondition descending="1" ref="B1:B147"/>
  </sortState>
  <tableColumns count="16">
    <tableColumn id="1" xr3:uid="{F1FDC09C-1170-482C-B872-0A40C0D33A30}" name="Entry"/>
    <tableColumn id="2" xr3:uid="{AE8FC586-3506-47D0-9532-FC61A2F28AC0}" name="Year"/>
    <tableColumn id="3" xr3:uid="{879417B9-A37C-4F54-85C7-1CBC282AC194}" name="Month"/>
    <tableColumn id="4" xr3:uid="{D85872D1-AE9F-4798-ACBE-80D8D85547BD}" name="Day"/>
    <tableColumn id="5" xr3:uid="{83CC0D9B-9F59-45A9-BAE0-3DEF954AE0BA}" name="Hour"/>
    <tableColumn id="6" xr3:uid="{65B0A128-63C9-4B98-8C57-B0C7408050F6}" name="Minute"/>
    <tableColumn id="7" xr3:uid="{749D8631-7B3F-4CA6-B792-F1D99DBEDA05}" name="Column"/>
    <tableColumn id="8" xr3:uid="{D4711DBB-4AD4-49CC-833D-07CCCEECBE4E}" name="Measurment"/>
    <tableColumn id="9" xr3:uid="{FDF7AF23-1616-4A74-A32B-64F7DB5C2AD5}" name="Sensor"/>
    <tableColumn id="10" xr3:uid="{272DE535-FC78-4FA8-8C0A-43C4E8704C23}" name="Serial Number"/>
    <tableColumn id="15" xr3:uid="{56B02F69-3EB3-41A5-BF2D-38AF5645F182}" name="Metric"/>
    <tableColumn id="12" xr3:uid="{6C51ACEB-2478-4983-A216-283BA60DB329}" name="R_program"/>
    <tableColumn id="13" xr3:uid="{89E2B8CC-3F06-4003-A3CF-17FD91C1EB82}" name="R_should_be"/>
    <tableColumn id="16" xr3:uid="{A8C5B814-8719-46C0-8FEC-DCCDAD2564D9}" name="M_program"/>
    <tableColumn id="17" xr3:uid="{7BE9746C-5FB6-4CF9-986B-482BEFA3B767}" name="M_should_be"/>
    <tableColumn id="14" xr3:uid="{E3A6B033-A316-4BD4-A3C1-93E6EC0F94E4}" name="Uncertain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71E8D-EC9F-4E58-B2D2-0AE0519F728F}" name="Table2" displayName="Table2" ref="A1:O14" totalsRowShown="0" headerRowDxfId="96" headerRowBorderDxfId="95" tableBorderDxfId="94" totalsRowBorderDxfId="93">
  <autoFilter ref="A1:O14" xr:uid="{E2971E8D-EC9F-4E58-B2D2-0AE0519F728F}"/>
  <sortState xmlns:xlrd2="http://schemas.microsoft.com/office/spreadsheetml/2017/richdata2" ref="A2:O14">
    <sortCondition ref="A1:A14"/>
  </sortState>
  <tableColumns count="15">
    <tableColumn id="1" xr3:uid="{9EF617D4-F72F-428C-8C02-BFC8CEB705E4}" name="Year" dataDxfId="92"/>
    <tableColumn id="2" xr3:uid="{064DEE78-908D-410D-869D-0A1DF96C0A12}" name="Month" dataDxfId="91"/>
    <tableColumn id="3" xr3:uid="{AF4CC9CF-855F-4E8B-94D6-AEE3181E6DBE}" name="Day" dataDxfId="90"/>
    <tableColumn id="4" xr3:uid="{4B827B0B-D329-42C4-B0BD-FE4E4FBBB514}" name="Hour"/>
    <tableColumn id="5" xr3:uid="{C7210130-12DB-4F95-BDD2-F898E2C3ABB0}" name="Minute"/>
    <tableColumn id="6" xr3:uid="{EA66C9AC-EDE4-4974-B174-B283289B3FBF}" name="Column"/>
    <tableColumn id="7" xr3:uid="{E032E55B-72F3-40E5-BF48-0E8D5199931E}" name="Measurment"/>
    <tableColumn id="8" xr3:uid="{619113C5-7F65-4B9F-A5F2-EA384B6CDFCD}" name="Sensor"/>
    <tableColumn id="9" xr3:uid="{1DEADDD6-B330-4D81-8814-3D7D54A192F4}" name="Serial Number"/>
    <tableColumn id="10" xr3:uid="{F4DDA843-9006-4C5B-8BD2-4FFBC8DCF5AF}" name="Metric"/>
    <tableColumn id="11" xr3:uid="{B14ADA59-B0A3-4645-AC40-1127D298BAFD}" name="R_program"/>
    <tableColumn id="12" xr3:uid="{2D3CC04A-39C8-4DEF-BE60-9E9FFA02ADDA}" name="R_should_be"/>
    <tableColumn id="13" xr3:uid="{814478A7-F655-4BA3-A8A1-4D9F76038C5E}" name="M_program" dataDxfId="89"/>
    <tableColumn id="14" xr3:uid="{BDB10B69-13DA-474E-8D6E-C57C7C1D5FA8}" name="M_should_be" dataDxfId="88"/>
    <tableColumn id="15" xr3:uid="{0E15DDED-6FD9-4BDF-8854-BF0CBED9919E}" name="Uncertain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E5D8B3-8BD3-4ECC-BD36-0871F9AB381A}" name="Table4" displayName="Table4" ref="A1:O15" totalsRowShown="0" headerRowDxfId="87" dataDxfId="85" headerRowBorderDxfId="86" tableBorderDxfId="84" totalsRowBorderDxfId="83">
  <autoFilter ref="A1:O15" xr:uid="{9FE5D8B3-8BD3-4ECC-BD36-0871F9AB381A}"/>
  <sortState xmlns:xlrd2="http://schemas.microsoft.com/office/spreadsheetml/2017/richdata2" ref="A2:O15">
    <sortCondition ref="A2:A15"/>
    <sortCondition ref="B2:B15"/>
  </sortState>
  <tableColumns count="15">
    <tableColumn id="1" xr3:uid="{C5318B82-0C9B-4280-8F18-2386624D75D4}" name="Year" dataDxfId="82"/>
    <tableColumn id="2" xr3:uid="{AB7BB480-881B-4705-BBE6-30CA6A8F0319}" name="Month" dataDxfId="81"/>
    <tableColumn id="3" xr3:uid="{85B8F4C2-75CA-40D4-B600-78CD6F769E13}" name="Day" dataDxfId="80"/>
    <tableColumn id="4" xr3:uid="{00C26572-13A6-45D1-A188-AFC4D9AE6807}" name="Hour" dataDxfId="79"/>
    <tableColumn id="5" xr3:uid="{9A6943E8-358E-4EF8-9950-56E21A50000B}" name="Minute" dataDxfId="78"/>
    <tableColumn id="6" xr3:uid="{377D20C0-C78F-4393-9884-28D8755B5097}" name="Column" dataDxfId="77"/>
    <tableColumn id="7" xr3:uid="{FD2CEB93-5687-4039-BDBD-3F1E2E61C93D}" name="Measurment" dataDxfId="76"/>
    <tableColumn id="8" xr3:uid="{EF83013D-9385-490C-8065-D95DCD4B83ED}" name="Sensor" dataDxfId="75"/>
    <tableColumn id="9" xr3:uid="{C596A226-17F4-41FA-99AC-6F2D9320F7C7}" name="Serial Number" dataDxfId="74"/>
    <tableColumn id="10" xr3:uid="{2C356D69-3FCF-46A0-8F23-203C9D72E028}" name="Metric" dataDxfId="73"/>
    <tableColumn id="11" xr3:uid="{50941B6E-35F6-4429-854D-BB770F4CEA43}" name="R_program" dataDxfId="72"/>
    <tableColumn id="12" xr3:uid="{49B1BCE1-89AA-4239-BFC9-8E8685857FA7}" name="R_should_be" dataDxfId="71"/>
    <tableColumn id="13" xr3:uid="{B4255115-AD8D-4225-905D-EAFDF953EB71}" name="M_program" dataDxfId="70"/>
    <tableColumn id="14" xr3:uid="{4B740645-9E88-410B-BEBB-EAF87799D2DE}" name="M_should_be" dataDxfId="69"/>
    <tableColumn id="15" xr3:uid="{25F2B51D-3DCA-443F-972B-D56D448385E5}" name="Uncertainty" dataDxfId="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E50CCA-E98C-47E5-9B6A-5036206E6077}" name="Table5" displayName="Table5" ref="A1:O8" totalsRowShown="0" headerRowDxfId="67" dataDxfId="65" headerRowBorderDxfId="66" tableBorderDxfId="64" totalsRowBorderDxfId="63">
  <autoFilter ref="A1:O8" xr:uid="{4CE50CCA-E98C-47E5-9B6A-5036206E6077}"/>
  <sortState xmlns:xlrd2="http://schemas.microsoft.com/office/spreadsheetml/2017/richdata2" ref="A2:O8">
    <sortCondition ref="A1:A8"/>
  </sortState>
  <tableColumns count="15">
    <tableColumn id="1" xr3:uid="{40739C4F-7926-4D30-85E5-B1C70F07CC58}" name="Year" dataDxfId="62"/>
    <tableColumn id="2" xr3:uid="{B9C436A4-C86A-4176-A748-A2EB263F2366}" name="Month" dataDxfId="61"/>
    <tableColumn id="3" xr3:uid="{A23B2393-E795-4522-B348-48FA029168BF}" name="Day" dataDxfId="60"/>
    <tableColumn id="4" xr3:uid="{12BC92B3-8400-4788-87F1-C45E3B3C0FF7}" name="Hour" dataDxfId="59"/>
    <tableColumn id="5" xr3:uid="{5C484A21-4EB7-4A52-BDA8-9C8F6B385A2E}" name="Minute" dataDxfId="58"/>
    <tableColumn id="6" xr3:uid="{43B4D4A3-BD23-4372-85F8-D1DC673B257B}" name="Column" dataDxfId="57"/>
    <tableColumn id="7" xr3:uid="{13F1C5B1-12D8-497A-995C-A3C1C8F4EBBD}" name="Measurment" dataDxfId="56"/>
    <tableColumn id="8" xr3:uid="{EEDF6678-0BA1-494A-B56E-3F4EE6168405}" name="Sensor" dataDxfId="55"/>
    <tableColumn id="9" xr3:uid="{901111A6-DC2D-4708-9245-52416AA6A1AD}" name="Serial Number" dataDxfId="54"/>
    <tableColumn id="10" xr3:uid="{ADA0E13A-487E-4D6B-9E5A-1B9264AF29CF}" name="Metric" dataDxfId="53"/>
    <tableColumn id="11" xr3:uid="{AB1994B9-EB06-4647-987F-1CB1F7987349}" name="R_program" dataDxfId="52"/>
    <tableColumn id="12" xr3:uid="{7FDD4AF8-12C8-413E-9CC7-BF250EE0F961}" name="R_should_be" dataDxfId="51"/>
    <tableColumn id="13" xr3:uid="{29D5B8D2-9715-4A57-B62E-A9C204755268}" name="M_program" dataDxfId="50"/>
    <tableColumn id="14" xr3:uid="{F9951DCF-AEF5-4B93-8D8B-B1E0768DD0D7}" name="M_should_be" dataDxfId="49"/>
    <tableColumn id="15" xr3:uid="{6E3B4665-570E-4C16-91E2-C0362452FCB0}" name="Uncertainty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2E6B68-D4AA-4DCB-952B-825D37B874DE}" name="Table6" displayName="Table6" ref="A1:O7" totalsRowShown="0" headerRowDxfId="47" dataDxfId="45" headerRowBorderDxfId="46" tableBorderDxfId="44" totalsRowBorderDxfId="43">
  <autoFilter ref="A1:O7" xr:uid="{E12E6B68-D4AA-4DCB-952B-825D37B874DE}"/>
  <tableColumns count="15">
    <tableColumn id="1" xr3:uid="{0F1A7524-DA72-4FD5-A73D-940828E75147}" name="Year" dataDxfId="42"/>
    <tableColumn id="2" xr3:uid="{C16CE2B4-47CD-4ADA-93DF-677A69E7F1AC}" name="Month" dataDxfId="41"/>
    <tableColumn id="3" xr3:uid="{738038BF-BC5C-42F1-B28F-2484A4655B98}" name="Day" dataDxfId="40"/>
    <tableColumn id="4" xr3:uid="{E2847807-43F5-4623-812F-144C1EB6142B}" name="Hour" dataDxfId="39"/>
    <tableColumn id="5" xr3:uid="{02D4F4F5-DB5C-4D67-932D-3D9A31A69D79}" name="Minute" dataDxfId="38"/>
    <tableColumn id="6" xr3:uid="{3AEEC5D7-D4FE-4911-B65C-EEAB293DE665}" name="Column" dataDxfId="37"/>
    <tableColumn id="7" xr3:uid="{C37A3973-F165-499C-91EF-AC400D75F0FF}" name="Measurment" dataDxfId="36"/>
    <tableColumn id="8" xr3:uid="{3D6C50E0-E4FE-4AD0-B098-0B427D60F012}" name="Sensor" dataDxfId="35"/>
    <tableColumn id="9" xr3:uid="{060CB63C-FAFA-43C3-9B22-D6390526F437}" name="Serial Number" dataDxfId="34"/>
    <tableColumn id="10" xr3:uid="{621438F1-C1FC-44E0-85D9-DD61AFD019DC}" name="Metric" dataDxfId="33"/>
    <tableColumn id="11" xr3:uid="{4ABC7FD1-2D78-4B75-9B92-BB7CE33A0C28}" name="R_program" dataDxfId="32"/>
    <tableColumn id="12" xr3:uid="{CBDC9302-E79D-44E0-BF54-08BA95A67F07}" name="R_should_be" dataDxfId="31"/>
    <tableColumn id="13" xr3:uid="{35CBBAD8-9C3F-4D3C-B8C1-74F02A935C2E}" name="M_program" dataDxfId="30"/>
    <tableColumn id="14" xr3:uid="{75DDF4A8-32B5-42A6-8B09-5F7D14ADA471}" name="M_should_be" dataDxfId="29"/>
    <tableColumn id="15" xr3:uid="{C7D1FB57-AD31-4730-9364-B08F0DDF93E5}" name="Uncertainty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1D5B68-1238-449A-8645-2AC9ACAF458A}" name="Table7" displayName="Table7" ref="A1:O15" totalsRowShown="0" headerRowDxfId="27" dataDxfId="25" headerRowBorderDxfId="26" tableBorderDxfId="24" totalsRowBorderDxfId="23">
  <autoFilter ref="A1:O15" xr:uid="{711D5B68-1238-449A-8645-2AC9ACAF458A}"/>
  <tableColumns count="15">
    <tableColumn id="1" xr3:uid="{7FBAA725-EAC4-4982-9B93-C956A7A3E634}" name="Year" dataDxfId="22"/>
    <tableColumn id="2" xr3:uid="{52CC427C-2BEF-4A6D-BF35-3CDD7313B8AC}" name="Month" dataDxfId="21"/>
    <tableColumn id="3" xr3:uid="{3437A29F-CE8B-494F-9D7E-71E71F9D0676}" name="Day" dataDxfId="20"/>
    <tableColumn id="4" xr3:uid="{ACEDF893-F34D-40C7-B4DB-AF1A3CA637F2}" name="Hour" dataDxfId="19"/>
    <tableColumn id="5" xr3:uid="{2FC8642F-733E-4967-B15E-E77396073039}" name="Minute" dataDxfId="18"/>
    <tableColumn id="6" xr3:uid="{C972ABA6-682B-48E5-AA31-BA5AF7A3E232}" name="Column" dataDxfId="17"/>
    <tableColumn id="7" xr3:uid="{B6D9E56D-99EA-4E3B-9F1A-A9972A90D9EC}" name="Measurment" dataDxfId="16"/>
    <tableColumn id="8" xr3:uid="{9D781722-4C1D-4249-9704-F163D9CFD39A}" name="Sensor" dataDxfId="15"/>
    <tableColumn id="9" xr3:uid="{A632F4D8-D2C4-49F6-B745-371EB460F23B}" name="Serial Number" dataDxfId="14"/>
    <tableColumn id="10" xr3:uid="{D4A950AC-F2C9-43B3-B532-A804EA572E6A}" name="Metric" dataDxfId="13"/>
    <tableColumn id="11" xr3:uid="{9C21F125-C9DF-41EB-BA48-74D164FB3CC7}" name="R_program" dataDxfId="12"/>
    <tableColumn id="12" xr3:uid="{96C0D3D8-FCA6-4590-915F-0FA20D30EBAA}" name="R_should_be" dataDxfId="11"/>
    <tableColumn id="13" xr3:uid="{C457721C-3D7C-45B3-985B-D3C41AA11179}" name="M_program" dataDxfId="10"/>
    <tableColumn id="14" xr3:uid="{1E8D3234-A498-4357-A64F-1F44B07D10A9}" name="M_should_be" dataDxfId="9"/>
    <tableColumn id="15" xr3:uid="{429A4912-DA0F-4AE4-B07D-0546AA3A41D9}" name="Uncertainty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E29289-7DBE-4911-BB05-F5A795234529}" name="Table8" displayName="Table8" ref="A1:O4" totalsRowShown="0" headerRowDxfId="7" headerRowBorderDxfId="6" tableBorderDxfId="5" totalsRowBorderDxfId="4">
  <autoFilter ref="A1:O4" xr:uid="{C7E29289-7DBE-4911-BB05-F5A795234529}"/>
  <tableColumns count="15">
    <tableColumn id="1" xr3:uid="{E8E5A895-2227-412A-84E3-D47A395B3551}" name="Year"/>
    <tableColumn id="2" xr3:uid="{F2C504F8-8F9B-4516-827F-17C50D0AF530}" name="Month"/>
    <tableColumn id="3" xr3:uid="{AFB36E49-8F79-481D-88C3-10C6ABDF2CD1}" name="Day"/>
    <tableColumn id="4" xr3:uid="{35CFC30D-99B1-4F39-964D-C58150BB9075}" name="Hour"/>
    <tableColumn id="5" xr3:uid="{E11324B4-B479-44AD-B4BE-F2D06D40D70D}" name="Minute"/>
    <tableColumn id="6" xr3:uid="{2D5D2A67-7DC1-41AB-873F-F9AE7AF94573}" name="Column"/>
    <tableColumn id="7" xr3:uid="{DA9964A8-EB5C-4FC1-BA23-F12A58A5DCDB}" name="Measurment"/>
    <tableColumn id="8" xr3:uid="{8A049458-4441-40D0-BEC6-7C7074F6428B}" name="Sensor"/>
    <tableColumn id="9" xr3:uid="{7D986C07-EC07-44F0-A677-B33AD99E5276}" name="Serial Number"/>
    <tableColumn id="10" xr3:uid="{CC04B992-8399-4FCC-9589-F51938FCAFB7}" name="Metric"/>
    <tableColumn id="11" xr3:uid="{A3AC05F8-CF4D-4065-A06B-CF9C139E95A5}" name="R_program"/>
    <tableColumn id="12" xr3:uid="{E17086A2-D5DD-4B47-A22B-8CFD14EED965}" name="R_should_be"/>
    <tableColumn id="13" xr3:uid="{0155E9C9-F7F2-4500-ACFC-42616721B667}" name="M_program"/>
    <tableColumn id="14" xr3:uid="{41892EFA-0FDC-4981-AF4A-FF055732FCAC}" name="M_should_be"/>
    <tableColumn id="15" xr3:uid="{681954D9-8ED4-4344-8E74-CD3A43E2F868}" name="Uncertain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F79206-9F29-4A8C-B33F-D953AB903B1F}" name="Table9" displayName="Table9" ref="A1:O4" totalsRowShown="0" headerRowDxfId="3" headerRowBorderDxfId="2" tableBorderDxfId="1" totalsRowBorderDxfId="0">
  <autoFilter ref="A1:O4" xr:uid="{82F79206-9F29-4A8C-B33F-D953AB903B1F}"/>
  <tableColumns count="15">
    <tableColumn id="1" xr3:uid="{E8D883CD-EE32-4CCE-B047-9F700CE99109}" name="Year"/>
    <tableColumn id="2" xr3:uid="{C3B2B08C-45CB-4F44-8FC5-B29D7068C2CE}" name="Month"/>
    <tableColumn id="3" xr3:uid="{EAF48B26-B1FF-4C3C-B045-C2C012712CD6}" name="Day"/>
    <tableColumn id="4" xr3:uid="{2801C4FD-8390-437C-852D-FE916E0B468D}" name="Hour"/>
    <tableColumn id="5" xr3:uid="{82702F61-4C11-4717-AD17-102604D7A913}" name="Minute"/>
    <tableColumn id="6" xr3:uid="{8EA4771C-282C-4A91-9EC3-AD6BDD7CAD26}" name="Column"/>
    <tableColumn id="7" xr3:uid="{304C0813-B978-4068-8023-53CF52C5CF4B}" name="Measurment"/>
    <tableColumn id="8" xr3:uid="{3095814D-4D42-437E-A652-23C9FBE9C306}" name="Sensor"/>
    <tableColumn id="9" xr3:uid="{DA8ACA68-2F77-441C-9375-8200816118C1}" name="Serial Number"/>
    <tableColumn id="10" xr3:uid="{C3B4143D-A033-4A5B-B70C-EF51A1DABAD3}" name="Metric"/>
    <tableColumn id="11" xr3:uid="{7E4B7B80-F6B2-4496-9335-02735D72A6C6}" name="R_program"/>
    <tableColumn id="12" xr3:uid="{C0CE53D1-77C3-4038-A5D7-EE73C7B88E18}" name="R_should_be"/>
    <tableColumn id="13" xr3:uid="{D5890467-D9BA-4506-A31F-D58C858193A3}" name="M_program"/>
    <tableColumn id="14" xr3:uid="{022DC86F-29AF-40CF-86BC-697AF8D08F80}" name="M_should_be"/>
    <tableColumn id="15" xr3:uid="{E55F3D75-FDEF-48F4-A2D5-D39C8DC71A2A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07F059-5C58-46A4-8ADC-7AE3B059A5B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5"/>
  <sheetViews>
    <sheetView tabSelected="1" topLeftCell="A76" zoomScale="117" zoomScaleNormal="100" workbookViewId="0">
      <selection activeCell="H69" sqref="H69"/>
    </sheetView>
  </sheetViews>
  <sheetFormatPr defaultColWidth="8.85546875" defaultRowHeight="15" x14ac:dyDescent="0.25"/>
  <cols>
    <col min="1" max="1" width="22.7109375" style="2" bestFit="1" customWidth="1"/>
    <col min="2" max="2" width="25" style="2" bestFit="1" customWidth="1"/>
    <col min="3" max="3" width="20.42578125" style="2" bestFit="1" customWidth="1"/>
    <col min="4" max="4" width="15.42578125" style="3" bestFit="1" customWidth="1"/>
    <col min="5" max="5" width="18.7109375" style="4" bestFit="1" customWidth="1"/>
    <col min="6" max="7" width="4.85546875" style="17" customWidth="1"/>
    <col min="8" max="9" width="18.7109375" style="43" bestFit="1" customWidth="1"/>
    <col min="10" max="10" width="10.28515625" style="43" bestFit="1" customWidth="1"/>
    <col min="11" max="11" width="3" style="15" customWidth="1"/>
    <col min="12" max="12" width="23.140625" style="5" bestFit="1" customWidth="1"/>
    <col min="13" max="13" width="22.85546875" style="5" bestFit="1" customWidth="1"/>
    <col min="14" max="15" width="4.28515625" style="17" customWidth="1"/>
    <col min="16" max="16" width="22.28515625" style="43" customWidth="1"/>
    <col min="17" max="17" width="33" style="43" customWidth="1"/>
    <col min="18" max="18" width="47.85546875" style="43" customWidth="1"/>
    <col min="19" max="19" width="10.42578125" bestFit="1" customWidth="1"/>
  </cols>
  <sheetData>
    <row r="1" spans="1:22" s="1" customFormat="1" ht="30" customHeight="1" x14ac:dyDescent="0.25">
      <c r="A1" s="6"/>
      <c r="B1" s="6"/>
      <c r="C1" s="6"/>
      <c r="D1" s="77" t="s">
        <v>23</v>
      </c>
      <c r="E1" s="77"/>
      <c r="F1" s="79" t="s">
        <v>25</v>
      </c>
      <c r="G1" s="80"/>
      <c r="H1" s="78" t="s">
        <v>26</v>
      </c>
      <c r="I1" s="78"/>
      <c r="J1" s="46"/>
      <c r="K1" s="13"/>
      <c r="L1" s="5" t="s">
        <v>27</v>
      </c>
      <c r="M1" s="5" t="s">
        <v>27</v>
      </c>
      <c r="N1" s="17" t="s">
        <v>28</v>
      </c>
      <c r="O1" s="17" t="s">
        <v>28</v>
      </c>
      <c r="P1" s="43" t="s">
        <v>29</v>
      </c>
      <c r="Q1" s="43" t="s">
        <v>29</v>
      </c>
      <c r="R1" s="43" t="s">
        <v>29</v>
      </c>
    </row>
    <row r="2" spans="1:22" s="1" customFormat="1" x14ac:dyDescent="0.25">
      <c r="A2" s="6"/>
      <c r="B2" s="6"/>
      <c r="C2" s="6"/>
      <c r="D2" s="3"/>
      <c r="E2" s="3"/>
      <c r="F2" s="29"/>
      <c r="G2" s="29"/>
      <c r="H2" s="30"/>
      <c r="I2" s="30"/>
      <c r="J2" s="30"/>
      <c r="K2" s="31"/>
      <c r="L2" s="2"/>
      <c r="M2" s="2"/>
      <c r="N2" s="2"/>
      <c r="O2" s="2"/>
      <c r="P2" s="43"/>
      <c r="Q2" s="43"/>
      <c r="R2" s="43"/>
      <c r="S2"/>
      <c r="T2"/>
      <c r="U2"/>
      <c r="V2"/>
    </row>
    <row r="3" spans="1:22" ht="45" x14ac:dyDescent="0.25">
      <c r="D3" s="3" t="s">
        <v>0</v>
      </c>
      <c r="E3" s="3" t="s">
        <v>24</v>
      </c>
      <c r="F3" s="12" t="s">
        <v>0</v>
      </c>
      <c r="G3" s="12" t="s">
        <v>24</v>
      </c>
      <c r="H3" s="42" t="s">
        <v>0</v>
      </c>
      <c r="I3" s="42" t="s">
        <v>24</v>
      </c>
      <c r="J3" s="42" t="s">
        <v>6</v>
      </c>
      <c r="K3" s="14"/>
    </row>
    <row r="4" spans="1:22" x14ac:dyDescent="0.25">
      <c r="D4" s="4" t="s">
        <v>114</v>
      </c>
      <c r="E4" s="4" t="s">
        <v>115</v>
      </c>
      <c r="F4" s="32" t="s">
        <v>116</v>
      </c>
      <c r="G4" s="32" t="s">
        <v>117</v>
      </c>
      <c r="H4" s="33" t="s">
        <v>118</v>
      </c>
      <c r="I4" s="33" t="s">
        <v>119</v>
      </c>
      <c r="J4" s="33" t="s">
        <v>6</v>
      </c>
      <c r="K4" s="34"/>
      <c r="L4" s="2"/>
      <c r="M4" s="2"/>
      <c r="N4" s="2"/>
      <c r="O4" s="2"/>
    </row>
    <row r="5" spans="1:22" ht="90" x14ac:dyDescent="0.25">
      <c r="A5" s="2" t="s">
        <v>1</v>
      </c>
      <c r="B5" s="2" t="s">
        <v>1</v>
      </c>
      <c r="C5" s="2" t="s">
        <v>1</v>
      </c>
      <c r="D5" s="3" t="s">
        <v>1</v>
      </c>
      <c r="E5" s="4" t="s">
        <v>1</v>
      </c>
      <c r="F5" s="17" t="s">
        <v>1</v>
      </c>
      <c r="G5" s="17" t="s">
        <v>1</v>
      </c>
      <c r="H5" s="43" t="s">
        <v>1</v>
      </c>
      <c r="I5" s="43" t="s">
        <v>1</v>
      </c>
      <c r="L5" s="5" t="s">
        <v>1</v>
      </c>
      <c r="M5" s="5" t="s">
        <v>1</v>
      </c>
      <c r="N5" s="12" t="s">
        <v>1</v>
      </c>
      <c r="O5" s="17" t="s">
        <v>1</v>
      </c>
    </row>
    <row r="6" spans="1:22" x14ac:dyDescent="0.25">
      <c r="A6" s="2" t="s">
        <v>18</v>
      </c>
      <c r="B6" s="2">
        <v>94291</v>
      </c>
      <c r="E6" s="3"/>
      <c r="F6" s="3"/>
      <c r="G6" s="3"/>
      <c r="H6" s="42"/>
      <c r="I6" s="42"/>
      <c r="J6" s="42"/>
    </row>
    <row r="7" spans="1:22" x14ac:dyDescent="0.25">
      <c r="A7" s="2" t="s">
        <v>3</v>
      </c>
      <c r="B7" s="2" t="s">
        <v>21</v>
      </c>
      <c r="E7" s="3"/>
      <c r="F7" s="3"/>
      <c r="G7" s="3"/>
      <c r="H7" s="42"/>
      <c r="I7" s="42"/>
      <c r="J7" s="42"/>
    </row>
    <row r="8" spans="1:22" x14ac:dyDescent="0.25">
      <c r="A8" s="2" t="s">
        <v>17</v>
      </c>
      <c r="B8" s="2" t="s">
        <v>22</v>
      </c>
      <c r="E8" s="3"/>
      <c r="F8" s="3"/>
      <c r="G8" s="3"/>
      <c r="H8" s="42"/>
      <c r="I8" s="42"/>
      <c r="J8" s="42"/>
    </row>
    <row r="9" spans="1:22" s="1" customFormat="1" x14ac:dyDescent="0.25">
      <c r="A9" s="2" t="s">
        <v>19</v>
      </c>
      <c r="B9" s="22">
        <v>-122.30948100000001</v>
      </c>
      <c r="C9" s="8"/>
      <c r="D9" s="3"/>
      <c r="E9" s="3"/>
      <c r="F9" s="3"/>
      <c r="G9" s="3"/>
      <c r="H9" s="42"/>
      <c r="I9" s="42"/>
      <c r="J9" s="42"/>
      <c r="K9" s="14"/>
      <c r="L9" s="7"/>
      <c r="M9" s="7"/>
      <c r="N9" s="17"/>
      <c r="O9" s="17"/>
      <c r="P9" s="43"/>
      <c r="Q9" s="43"/>
      <c r="R9" s="42"/>
    </row>
    <row r="10" spans="1:22" ht="15" customHeight="1" x14ac:dyDescent="0.25">
      <c r="A10" s="2" t="s">
        <v>4</v>
      </c>
      <c r="B10" s="23">
        <v>47.653871000000002</v>
      </c>
      <c r="C10" s="8"/>
      <c r="D10" s="3" t="s">
        <v>7</v>
      </c>
      <c r="E10" s="4" t="s">
        <v>8</v>
      </c>
      <c r="F10" s="12" t="s">
        <v>9</v>
      </c>
      <c r="G10" s="17" t="s">
        <v>10</v>
      </c>
      <c r="H10" s="43" t="s">
        <v>11</v>
      </c>
      <c r="I10" s="43" t="s">
        <v>12</v>
      </c>
      <c r="J10" s="42" t="s">
        <v>13</v>
      </c>
      <c r="L10" s="5" t="s">
        <v>14</v>
      </c>
      <c r="M10" s="7" t="s">
        <v>15</v>
      </c>
      <c r="N10" s="17" t="s">
        <v>16</v>
      </c>
      <c r="O10" s="17" t="s">
        <v>16</v>
      </c>
    </row>
    <row r="11" spans="1:22" x14ac:dyDescent="0.25">
      <c r="A11" s="2" t="s">
        <v>5</v>
      </c>
      <c r="B11" s="9">
        <v>70</v>
      </c>
      <c r="C11" s="9"/>
    </row>
    <row r="12" spans="1:22" ht="15" customHeight="1" x14ac:dyDescent="0.25">
      <c r="A12" s="2" t="s">
        <v>20</v>
      </c>
      <c r="B12" s="9">
        <v>-8</v>
      </c>
      <c r="C12" s="9"/>
    </row>
    <row r="13" spans="1:22" x14ac:dyDescent="0.25">
      <c r="A13" s="2" t="s">
        <v>2</v>
      </c>
    </row>
    <row r="14" spans="1:22" x14ac:dyDescent="0.25">
      <c r="A14" s="10">
        <f>IF(LEN(C14)=17,LEFT(C14,4)+(B14-1)/(DATE(LEFT(C14,4)+1,1,1)-DATE(LEFT(C14,4),1,1)),"BAD DATE FORMAT")</f>
        <v>2015.7478310502283</v>
      </c>
      <c r="B14" s="11">
        <f>DATE(LEFT(C14,4),RIGHT(LEFT(C14,7),2),RIGHT(LEFT(C14,10),2))-DATE(LEFT(C14,4),1,1)+1+(RIGHT(LEFT(C14,14),2)*60+RIGHT(C14,2))/1440</f>
        <v>273.95833333333331</v>
      </c>
      <c r="C14" t="s">
        <v>30</v>
      </c>
      <c r="L14" s="19"/>
      <c r="M14" s="19"/>
      <c r="N14" s="18"/>
      <c r="O14" s="18"/>
      <c r="P14" s="48"/>
      <c r="Q14" s="48"/>
    </row>
    <row r="15" spans="1:22" x14ac:dyDescent="0.25">
      <c r="A15" s="16">
        <v>1000</v>
      </c>
      <c r="B15" s="11" t="s">
        <v>249</v>
      </c>
      <c r="C15" t="s">
        <v>35</v>
      </c>
      <c r="D15" s="3">
        <v>120.149</v>
      </c>
      <c r="E15" s="4">
        <f>1000/D15</f>
        <v>8.3229989429791349</v>
      </c>
      <c r="F15" s="17" t="s">
        <v>41</v>
      </c>
      <c r="G15" s="17" t="s">
        <v>41</v>
      </c>
      <c r="H15" s="43">
        <f>1000/I15</f>
        <v>120.40214315814821</v>
      </c>
      <c r="I15" s="43">
        <v>8.3055000000000003</v>
      </c>
      <c r="J15" s="43">
        <v>1.6168725409881399</v>
      </c>
      <c r="L15" s="19" t="s">
        <v>39</v>
      </c>
      <c r="M15" s="19" t="s">
        <v>38</v>
      </c>
      <c r="N15" s="18" t="s">
        <v>41</v>
      </c>
      <c r="O15" s="18" t="s">
        <v>41</v>
      </c>
      <c r="P15" s="48" t="s">
        <v>42</v>
      </c>
      <c r="Q15" s="48" t="s">
        <v>52</v>
      </c>
      <c r="R15" s="43" t="s">
        <v>53</v>
      </c>
    </row>
    <row r="16" spans="1:22" x14ac:dyDescent="0.25">
      <c r="A16" s="2">
        <v>2010</v>
      </c>
      <c r="B16" s="2" t="s">
        <v>36</v>
      </c>
      <c r="C16" s="2" t="s">
        <v>37</v>
      </c>
      <c r="D16" s="3">
        <v>118.85899999999999</v>
      </c>
      <c r="E16" s="4">
        <f>1000/D16</f>
        <v>8.4133300801790352</v>
      </c>
      <c r="F16" s="17" t="s">
        <v>41</v>
      </c>
      <c r="G16" s="17" t="s">
        <v>41</v>
      </c>
      <c r="H16" s="43">
        <f>1000/I16</f>
        <v>119.74040280671504</v>
      </c>
      <c r="I16" s="43">
        <v>8.3513999999999999</v>
      </c>
      <c r="J16" s="43">
        <v>1.9286659923145</v>
      </c>
      <c r="L16" s="19" t="s">
        <v>39</v>
      </c>
      <c r="M16" s="19" t="s">
        <v>38</v>
      </c>
      <c r="N16" s="18" t="s">
        <v>41</v>
      </c>
      <c r="O16" s="18" t="s">
        <v>41</v>
      </c>
      <c r="P16" s="48" t="s">
        <v>42</v>
      </c>
      <c r="Q16" s="48" t="s">
        <v>60</v>
      </c>
      <c r="R16" s="43" t="s">
        <v>61</v>
      </c>
    </row>
    <row r="17" spans="1:18" x14ac:dyDescent="0.25">
      <c r="A17" s="2">
        <v>9300</v>
      </c>
      <c r="B17" s="2" t="s">
        <v>32</v>
      </c>
      <c r="C17" s="2" t="s">
        <v>33</v>
      </c>
      <c r="D17" s="4">
        <v>1</v>
      </c>
      <c r="E17" s="4">
        <f>1000/D17</f>
        <v>1000</v>
      </c>
      <c r="F17" s="17" t="s">
        <v>41</v>
      </c>
      <c r="G17" s="17" t="s">
        <v>41</v>
      </c>
      <c r="H17" s="43">
        <v>1</v>
      </c>
      <c r="I17" s="45">
        <v>1000</v>
      </c>
      <c r="J17" s="43">
        <v>1</v>
      </c>
      <c r="L17" s="19" t="s">
        <v>39</v>
      </c>
      <c r="M17" s="19" t="s">
        <v>38</v>
      </c>
      <c r="N17" s="18" t="s">
        <v>41</v>
      </c>
      <c r="O17" s="18" t="s">
        <v>41</v>
      </c>
      <c r="P17" s="48" t="s">
        <v>42</v>
      </c>
      <c r="Q17" s="48" t="s">
        <v>43</v>
      </c>
      <c r="R17" s="43" t="s">
        <v>44</v>
      </c>
    </row>
    <row r="18" spans="1:18" x14ac:dyDescent="0.25">
      <c r="A18" s="2" t="s">
        <v>2</v>
      </c>
    </row>
    <row r="19" spans="1:18" x14ac:dyDescent="0.25">
      <c r="A19" s="21">
        <f>IF(LEN(C19)=17,LEFT(C19,4)+(B19-1)/(DATE(LEFT(C19,4)+1,1,1)-DATE(LEFT(C19,4),1,1)),"BAD DATE FORMAT")</f>
        <v>2016.0000018973892</v>
      </c>
      <c r="B19" s="11">
        <f>DATE(LEFT(C19,4),RIGHT(LEFT(C19,7),2),RIGHT(LEFT(C19,10),2))-DATE(LEFT(C19,4),1,1)+1+(RIGHT(LEFT(C19,14),2)*60+RIGHT(C19,2))/1440</f>
        <v>1.0006944444444446</v>
      </c>
      <c r="C19" t="s">
        <v>45</v>
      </c>
      <c r="L19" s="19"/>
      <c r="M19" s="19"/>
      <c r="N19" s="18"/>
      <c r="O19" s="18"/>
      <c r="P19" s="48"/>
      <c r="Q19" s="48"/>
    </row>
    <row r="20" spans="1:18" x14ac:dyDescent="0.25">
      <c r="A20" s="16">
        <v>1000</v>
      </c>
      <c r="B20" s="11" t="s">
        <v>249</v>
      </c>
      <c r="C20" t="s">
        <v>35</v>
      </c>
      <c r="D20" s="3">
        <v>120.149</v>
      </c>
      <c r="E20" s="4">
        <f>1000/D20</f>
        <v>8.3229989429791349</v>
      </c>
      <c r="F20" s="17" t="s">
        <v>41</v>
      </c>
      <c r="G20" s="17" t="s">
        <v>41</v>
      </c>
      <c r="H20" s="43">
        <f>1000/I20</f>
        <v>120.54583152514586</v>
      </c>
      <c r="I20" s="43">
        <v>8.2956000000000003</v>
      </c>
      <c r="J20" s="43">
        <v>1.6188010157323101</v>
      </c>
      <c r="L20" s="19" t="s">
        <v>39</v>
      </c>
      <c r="M20" s="19" t="s">
        <v>38</v>
      </c>
      <c r="N20" s="18" t="s">
        <v>41</v>
      </c>
      <c r="O20" s="18" t="s">
        <v>41</v>
      </c>
      <c r="P20" s="48" t="s">
        <v>42</v>
      </c>
      <c r="Q20" s="48" t="s">
        <v>51</v>
      </c>
      <c r="R20" s="43" t="s">
        <v>54</v>
      </c>
    </row>
    <row r="21" spans="1:18" x14ac:dyDescent="0.25">
      <c r="A21" s="2">
        <v>2010</v>
      </c>
      <c r="B21" s="2" t="s">
        <v>36</v>
      </c>
      <c r="C21" s="2" t="s">
        <v>37</v>
      </c>
      <c r="D21" s="3">
        <v>118.85899999999999</v>
      </c>
      <c r="E21" s="4">
        <f>1000/D21</f>
        <v>8.4133300801790352</v>
      </c>
      <c r="F21" s="17" t="s">
        <v>41</v>
      </c>
      <c r="G21" s="17" t="s">
        <v>41</v>
      </c>
      <c r="H21" s="43">
        <f>1000/I21</f>
        <v>119.74040280671504</v>
      </c>
      <c r="I21" s="43">
        <v>8.3513999999999999</v>
      </c>
      <c r="J21" s="43">
        <v>1.9286659923145</v>
      </c>
      <c r="L21" s="19" t="s">
        <v>39</v>
      </c>
      <c r="M21" s="19" t="s">
        <v>38</v>
      </c>
      <c r="N21" s="18" t="s">
        <v>41</v>
      </c>
      <c r="O21" s="18" t="s">
        <v>41</v>
      </c>
      <c r="P21" s="48" t="s">
        <v>42</v>
      </c>
      <c r="Q21" s="48" t="s">
        <v>62</v>
      </c>
      <c r="R21" s="43" t="s">
        <v>63</v>
      </c>
    </row>
    <row r="22" spans="1:18" x14ac:dyDescent="0.25">
      <c r="A22" s="2">
        <v>9300</v>
      </c>
      <c r="B22" s="2" t="s">
        <v>32</v>
      </c>
      <c r="C22" s="2" t="s">
        <v>33</v>
      </c>
      <c r="D22" s="4">
        <v>1</v>
      </c>
      <c r="E22" s="4">
        <f>1000/D22</f>
        <v>1000</v>
      </c>
      <c r="F22" s="17" t="s">
        <v>41</v>
      </c>
      <c r="G22" s="17" t="s">
        <v>41</v>
      </c>
      <c r="H22" s="43">
        <v>1</v>
      </c>
      <c r="I22" s="45">
        <v>1000</v>
      </c>
      <c r="J22" s="43">
        <v>1</v>
      </c>
      <c r="L22" s="19" t="s">
        <v>39</v>
      </c>
      <c r="M22" s="19" t="s">
        <v>38</v>
      </c>
      <c r="N22" s="18" t="s">
        <v>41</v>
      </c>
      <c r="O22" s="18" t="s">
        <v>41</v>
      </c>
      <c r="P22" s="48" t="s">
        <v>42</v>
      </c>
      <c r="Q22" s="48" t="s">
        <v>43</v>
      </c>
      <c r="R22" s="43" t="s">
        <v>44</v>
      </c>
    </row>
    <row r="23" spans="1:18" x14ac:dyDescent="0.25">
      <c r="A23" s="2" t="s">
        <v>2</v>
      </c>
    </row>
    <row r="24" spans="1:18" x14ac:dyDescent="0.25">
      <c r="A24" s="20">
        <f>IF(LEN(C24)=17,LEFT(C24,4)+(B24-1)/(DATE(LEFT(C24,4)+1,1,1)-DATE(LEFT(C24,4),1,1)),"BAD DATE FORMAT")</f>
        <v>2017.0000019025874</v>
      </c>
      <c r="B24" s="11">
        <f>DATE(LEFT(C24,4),RIGHT(LEFT(C24,7),2),RIGHT(LEFT(C24,10),2))-DATE(LEFT(C24,4),1,1)+1+(RIGHT(LEFT(C24,14),2)*60+RIGHT(C24,2))/1440</f>
        <v>1.0006944444444446</v>
      </c>
      <c r="C24" t="s">
        <v>46</v>
      </c>
      <c r="L24" s="19"/>
      <c r="M24" s="19"/>
      <c r="N24" s="18"/>
      <c r="O24" s="18"/>
      <c r="P24" s="48"/>
      <c r="Q24" s="48"/>
    </row>
    <row r="25" spans="1:18" x14ac:dyDescent="0.25">
      <c r="A25" s="16">
        <v>1000</v>
      </c>
      <c r="B25" s="11" t="s">
        <v>249</v>
      </c>
      <c r="C25" t="s">
        <v>35</v>
      </c>
      <c r="D25" s="3">
        <v>120.149</v>
      </c>
      <c r="E25" s="4">
        <f>1000/D25</f>
        <v>8.3229989429791349</v>
      </c>
      <c r="F25" s="17" t="s">
        <v>41</v>
      </c>
      <c r="G25" s="17" t="s">
        <v>41</v>
      </c>
      <c r="H25" s="43">
        <f>1000/I25</f>
        <v>120.83277951642721</v>
      </c>
      <c r="I25" s="43">
        <v>8.2759</v>
      </c>
      <c r="J25" s="43">
        <v>1.6226717989921</v>
      </c>
      <c r="L25" s="19" t="s">
        <v>39</v>
      </c>
      <c r="M25" s="19" t="s">
        <v>38</v>
      </c>
      <c r="N25" s="18" t="s">
        <v>41</v>
      </c>
      <c r="O25" s="18" t="s">
        <v>41</v>
      </c>
      <c r="P25" s="48" t="s">
        <v>42</v>
      </c>
      <c r="Q25" s="48" t="s">
        <v>50</v>
      </c>
      <c r="R25" s="43" t="s">
        <v>55</v>
      </c>
    </row>
    <row r="26" spans="1:18" x14ac:dyDescent="0.25">
      <c r="A26" s="2">
        <v>2010</v>
      </c>
      <c r="B26" s="2" t="s">
        <v>36</v>
      </c>
      <c r="C26" s="2" t="s">
        <v>37</v>
      </c>
      <c r="D26" s="3">
        <v>118.85899999999999</v>
      </c>
      <c r="E26" s="4">
        <f>1000/D26</f>
        <v>8.4133300801790352</v>
      </c>
      <c r="F26" s="17" t="s">
        <v>41</v>
      </c>
      <c r="G26" s="17" t="s">
        <v>41</v>
      </c>
      <c r="H26" s="43">
        <f>1000/I26</f>
        <v>119.74040280671504</v>
      </c>
      <c r="I26" s="43">
        <v>8.3513999999999999</v>
      </c>
      <c r="J26" s="43">
        <v>1.9286659923145</v>
      </c>
      <c r="L26" s="19" t="s">
        <v>39</v>
      </c>
      <c r="M26" s="19" t="s">
        <v>38</v>
      </c>
      <c r="N26" s="18" t="s">
        <v>41</v>
      </c>
      <c r="O26" s="18" t="s">
        <v>41</v>
      </c>
      <c r="P26" s="48" t="s">
        <v>42</v>
      </c>
      <c r="Q26" s="48" t="s">
        <v>64</v>
      </c>
      <c r="R26" s="43" t="s">
        <v>65</v>
      </c>
    </row>
    <row r="27" spans="1:18" x14ac:dyDescent="0.25">
      <c r="A27" s="2">
        <v>9300</v>
      </c>
      <c r="B27" s="2" t="s">
        <v>32</v>
      </c>
      <c r="C27" s="2" t="s">
        <v>33</v>
      </c>
      <c r="D27" s="4">
        <v>1</v>
      </c>
      <c r="E27" s="4">
        <f>1000/D27</f>
        <v>1000</v>
      </c>
      <c r="F27" s="17" t="s">
        <v>41</v>
      </c>
      <c r="G27" s="17" t="s">
        <v>41</v>
      </c>
      <c r="H27" s="43">
        <v>1</v>
      </c>
      <c r="I27" s="45">
        <v>1000</v>
      </c>
      <c r="J27" s="43">
        <v>1</v>
      </c>
      <c r="L27" s="19" t="s">
        <v>39</v>
      </c>
      <c r="M27" s="19" t="s">
        <v>38</v>
      </c>
      <c r="N27" s="18" t="s">
        <v>41</v>
      </c>
      <c r="O27" s="18" t="s">
        <v>41</v>
      </c>
      <c r="P27" s="48" t="s">
        <v>42</v>
      </c>
      <c r="Q27" s="48" t="s">
        <v>43</v>
      </c>
      <c r="R27" s="43" t="s">
        <v>44</v>
      </c>
    </row>
    <row r="28" spans="1:18" x14ac:dyDescent="0.25">
      <c r="A28" s="2" t="s">
        <v>2</v>
      </c>
    </row>
    <row r="29" spans="1:18" x14ac:dyDescent="0.25">
      <c r="A29" s="10">
        <f>IF(LEN(C29)=17,LEFT(C29,4)+(B29-1)/(DATE(LEFT(C29,4)+1,1,1)-DATE(LEFT(C29,4),1,1)),"BAD DATE FORMAT")</f>
        <v>2017.5821537290715</v>
      </c>
      <c r="B29" s="11">
        <f>DATE(LEFT(C29,4),RIGHT(LEFT(C29,7),2),RIGHT(LEFT(C29,10),2))-DATE(LEFT(C29,4),1,1)+1+(RIGHT(LEFT(C29,14),2)*60+RIGHT(C29,2))/1440</f>
        <v>213.48611111111111</v>
      </c>
      <c r="C29" t="s">
        <v>31</v>
      </c>
      <c r="L29" s="19"/>
      <c r="M29" s="19"/>
      <c r="N29" s="18"/>
      <c r="O29" s="18"/>
      <c r="P29" s="48"/>
      <c r="Q29" s="48"/>
    </row>
    <row r="30" spans="1:18" x14ac:dyDescent="0.25">
      <c r="A30" s="16">
        <v>1000</v>
      </c>
      <c r="B30" s="2" t="s">
        <v>250</v>
      </c>
      <c r="C30" s="2" t="s">
        <v>34</v>
      </c>
      <c r="D30" s="3">
        <v>142.197</v>
      </c>
      <c r="E30" s="4">
        <f>1000/D30</f>
        <v>7.032497169419889</v>
      </c>
      <c r="F30" s="17" t="s">
        <v>41</v>
      </c>
      <c r="G30" s="17" t="s">
        <v>41</v>
      </c>
      <c r="H30" s="43">
        <f>1000/I30</f>
        <v>142.12418811557538</v>
      </c>
      <c r="I30" s="43">
        <v>7.0361000000000002</v>
      </c>
      <c r="J30" s="43">
        <v>1.66982297226244</v>
      </c>
      <c r="L30" s="19" t="s">
        <v>40</v>
      </c>
      <c r="M30" s="19" t="s">
        <v>38</v>
      </c>
      <c r="N30" s="18" t="s">
        <v>41</v>
      </c>
      <c r="O30" s="18" t="s">
        <v>41</v>
      </c>
      <c r="P30" s="48" t="s">
        <v>42</v>
      </c>
      <c r="Q30" s="48" t="s">
        <v>49</v>
      </c>
      <c r="R30" s="43" t="s">
        <v>56</v>
      </c>
    </row>
    <row r="31" spans="1:18" x14ac:dyDescent="0.25">
      <c r="A31" s="2">
        <v>2010</v>
      </c>
      <c r="B31" s="2" t="s">
        <v>36</v>
      </c>
      <c r="C31" s="2" t="s">
        <v>37</v>
      </c>
      <c r="D31" s="3">
        <v>118.85899999999999</v>
      </c>
      <c r="E31" s="4">
        <f>1000/D31</f>
        <v>8.4133300801790352</v>
      </c>
      <c r="F31" s="17" t="s">
        <v>41</v>
      </c>
      <c r="G31" s="17" t="s">
        <v>41</v>
      </c>
      <c r="H31" s="43">
        <f>1000/I31</f>
        <v>119.74040280671504</v>
      </c>
      <c r="I31" s="43">
        <v>8.3513999999999999</v>
      </c>
      <c r="J31" s="43">
        <v>1.9286659923145</v>
      </c>
      <c r="L31" s="19" t="s">
        <v>40</v>
      </c>
      <c r="M31" s="19" t="s">
        <v>38</v>
      </c>
      <c r="N31" s="18" t="s">
        <v>41</v>
      </c>
      <c r="O31" s="18" t="s">
        <v>41</v>
      </c>
      <c r="P31" s="48" t="s">
        <v>42</v>
      </c>
      <c r="Q31" s="48" t="s">
        <v>49</v>
      </c>
      <c r="R31" s="43" t="s">
        <v>66</v>
      </c>
    </row>
    <row r="32" spans="1:18" x14ac:dyDescent="0.25">
      <c r="A32" s="2">
        <v>9300</v>
      </c>
      <c r="B32" s="2" t="s">
        <v>32</v>
      </c>
      <c r="C32" s="2" t="s">
        <v>33</v>
      </c>
      <c r="D32" s="4">
        <v>1</v>
      </c>
      <c r="E32" s="4">
        <f>1000/D32</f>
        <v>1000</v>
      </c>
      <c r="F32" s="17" t="s">
        <v>41</v>
      </c>
      <c r="G32" s="17" t="s">
        <v>41</v>
      </c>
      <c r="H32" s="43">
        <v>1</v>
      </c>
      <c r="I32" s="45">
        <v>1000</v>
      </c>
      <c r="J32" s="43">
        <v>1</v>
      </c>
      <c r="L32" s="19" t="s">
        <v>40</v>
      </c>
      <c r="M32" s="19" t="s">
        <v>38</v>
      </c>
      <c r="N32" s="18" t="s">
        <v>41</v>
      </c>
      <c r="O32" s="18" t="s">
        <v>41</v>
      </c>
      <c r="P32" s="48" t="s">
        <v>42</v>
      </c>
      <c r="Q32" s="48" t="s">
        <v>43</v>
      </c>
      <c r="R32" s="43" t="s">
        <v>44</v>
      </c>
    </row>
    <row r="33" spans="1:18" x14ac:dyDescent="0.25">
      <c r="A33" s="2" t="s">
        <v>2</v>
      </c>
    </row>
    <row r="34" spans="1:18" x14ac:dyDescent="0.25">
      <c r="A34" s="10">
        <f>IF(LEN(C34)=17,LEFT(C34,4)+(B34-1)/(DATE(LEFT(C34,4)+1,1,1)-DATE(LEFT(C34,4),1,1)),"BAD DATE FORMAT")</f>
        <v>2018.0000019025874</v>
      </c>
      <c r="B34" s="11">
        <f>DATE(LEFT(C34,4),RIGHT(LEFT(C34,7),2),RIGHT(LEFT(C34,10),2))-DATE(LEFT(C34,4),1,1)+1+(RIGHT(LEFT(C34,14),2)*60+RIGHT(C34,2))/1440</f>
        <v>1.0006944444444446</v>
      </c>
      <c r="C34" t="s">
        <v>47</v>
      </c>
      <c r="L34" s="19"/>
      <c r="M34" s="19"/>
      <c r="N34" s="18"/>
      <c r="O34" s="18"/>
      <c r="P34" s="48"/>
      <c r="Q34" s="48"/>
    </row>
    <row r="35" spans="1:18" x14ac:dyDescent="0.25">
      <c r="A35" s="16">
        <v>1000</v>
      </c>
      <c r="B35" s="2" t="s">
        <v>250</v>
      </c>
      <c r="C35" s="2" t="s">
        <v>34</v>
      </c>
      <c r="D35" s="3">
        <v>142.197</v>
      </c>
      <c r="E35" s="4">
        <f>1000/D35</f>
        <v>7.032497169419889</v>
      </c>
      <c r="F35" s="17" t="s">
        <v>41</v>
      </c>
      <c r="G35" s="17" t="s">
        <v>41</v>
      </c>
      <c r="H35" s="43">
        <f>1000/I35</f>
        <v>142.20503121400435</v>
      </c>
      <c r="I35" s="43">
        <v>7.0320999999999998</v>
      </c>
      <c r="J35" s="43">
        <v>1.67075591548251</v>
      </c>
      <c r="L35" s="19" t="s">
        <v>40</v>
      </c>
      <c r="M35" s="19" t="s">
        <v>38</v>
      </c>
      <c r="N35" s="18" t="s">
        <v>41</v>
      </c>
      <c r="O35" s="18" t="s">
        <v>41</v>
      </c>
      <c r="P35" s="48" t="s">
        <v>42</v>
      </c>
      <c r="Q35" s="48" t="s">
        <v>57</v>
      </c>
      <c r="R35" s="43" t="s">
        <v>58</v>
      </c>
    </row>
    <row r="36" spans="1:18" x14ac:dyDescent="0.25">
      <c r="A36" s="2">
        <v>2010</v>
      </c>
      <c r="B36" s="2" t="s">
        <v>36</v>
      </c>
      <c r="C36" s="2" t="s">
        <v>37</v>
      </c>
      <c r="D36" s="3">
        <v>118.85899999999999</v>
      </c>
      <c r="E36" s="4">
        <f>1000/D36</f>
        <v>8.4133300801790352</v>
      </c>
      <c r="F36" s="17" t="s">
        <v>41</v>
      </c>
      <c r="G36" s="17" t="s">
        <v>41</v>
      </c>
      <c r="H36" s="43">
        <f>1000/I36</f>
        <v>119.74040280671504</v>
      </c>
      <c r="I36" s="43">
        <v>8.3513999999999999</v>
      </c>
      <c r="J36" s="43">
        <v>1.9286659923145</v>
      </c>
      <c r="L36" s="19" t="s">
        <v>40</v>
      </c>
      <c r="M36" s="19" t="s">
        <v>38</v>
      </c>
      <c r="N36" s="18" t="s">
        <v>41</v>
      </c>
      <c r="O36" s="18" t="s">
        <v>41</v>
      </c>
      <c r="P36" s="48" t="s">
        <v>42</v>
      </c>
      <c r="Q36" s="48" t="s">
        <v>57</v>
      </c>
      <c r="R36" s="43" t="s">
        <v>67</v>
      </c>
    </row>
    <row r="37" spans="1:18" x14ac:dyDescent="0.25">
      <c r="A37" s="2">
        <v>9300</v>
      </c>
      <c r="B37" s="2" t="s">
        <v>32</v>
      </c>
      <c r="C37" s="2" t="s">
        <v>33</v>
      </c>
      <c r="D37" s="4">
        <v>1</v>
      </c>
      <c r="E37" s="4">
        <f>1000/D37</f>
        <v>1000</v>
      </c>
      <c r="F37" s="17" t="s">
        <v>41</v>
      </c>
      <c r="G37" s="17" t="s">
        <v>41</v>
      </c>
      <c r="H37" s="43">
        <v>1</v>
      </c>
      <c r="I37" s="45">
        <v>1000</v>
      </c>
      <c r="J37" s="43">
        <v>1</v>
      </c>
      <c r="L37" s="19" t="s">
        <v>40</v>
      </c>
      <c r="M37" s="19" t="s">
        <v>38</v>
      </c>
      <c r="N37" s="18" t="s">
        <v>41</v>
      </c>
      <c r="O37" s="18" t="s">
        <v>41</v>
      </c>
      <c r="P37" s="48" t="s">
        <v>42</v>
      </c>
      <c r="Q37" s="48" t="s">
        <v>43</v>
      </c>
      <c r="R37" s="43" t="s">
        <v>44</v>
      </c>
    </row>
    <row r="38" spans="1:18" x14ac:dyDescent="0.25">
      <c r="A38" s="2" t="s">
        <v>2</v>
      </c>
    </row>
    <row r="39" spans="1:18" x14ac:dyDescent="0.25">
      <c r="A39" s="10">
        <f>IF(LEN(C39)=17,LEFT(C39,4)+(B39-1)/(DATE(LEFT(C39,4)+1,1,1)-DATE(LEFT(C39,4),1,1)),"BAD DATE FORMAT")</f>
        <v>2019.0000019025874</v>
      </c>
      <c r="B39" s="11">
        <f>DATE(LEFT(C39,4),RIGHT(LEFT(C39,7),2),RIGHT(LEFT(C39,10),2))-DATE(LEFT(C39,4),1,1)+1+(RIGHT(LEFT(C39,14),2)*60+RIGHT(C39,2))/1440</f>
        <v>1.0006944444444446</v>
      </c>
      <c r="C39" t="s">
        <v>48</v>
      </c>
      <c r="L39" s="19"/>
      <c r="M39" s="19"/>
      <c r="N39" s="18"/>
      <c r="O39" s="18"/>
      <c r="P39" s="48"/>
      <c r="Q39" s="48"/>
    </row>
    <row r="40" spans="1:18" x14ac:dyDescent="0.25">
      <c r="A40" s="16">
        <v>1000</v>
      </c>
      <c r="B40" s="2" t="s">
        <v>250</v>
      </c>
      <c r="C40" s="2" t="s">
        <v>34</v>
      </c>
      <c r="D40" s="3">
        <v>142.197</v>
      </c>
      <c r="E40" s="4">
        <f>1000/D40</f>
        <v>7.032497169419889</v>
      </c>
      <c r="F40" s="17" t="s">
        <v>41</v>
      </c>
      <c r="G40" s="17" t="s">
        <v>41</v>
      </c>
      <c r="H40" s="43">
        <f>1000/I40</f>
        <v>142.36294007943852</v>
      </c>
      <c r="I40" s="43">
        <v>7.0243000000000002</v>
      </c>
      <c r="J40" s="43">
        <v>1.67262493287749</v>
      </c>
      <c r="L40" s="19" t="s">
        <v>70</v>
      </c>
      <c r="M40" s="19" t="s">
        <v>38</v>
      </c>
      <c r="N40" s="18" t="s">
        <v>41</v>
      </c>
      <c r="O40" s="18" t="s">
        <v>41</v>
      </c>
      <c r="P40" s="48" t="s">
        <v>42</v>
      </c>
      <c r="Q40" s="48" t="s">
        <v>69</v>
      </c>
      <c r="R40" s="43" t="s">
        <v>59</v>
      </c>
    </row>
    <row r="41" spans="1:18" x14ac:dyDescent="0.25">
      <c r="A41" s="2">
        <v>2010</v>
      </c>
      <c r="B41" s="2" t="s">
        <v>36</v>
      </c>
      <c r="C41" s="2" t="s">
        <v>37</v>
      </c>
      <c r="D41" s="3">
        <v>118.85899999999999</v>
      </c>
      <c r="E41" s="4">
        <f>1000/D41</f>
        <v>8.4133300801790352</v>
      </c>
      <c r="F41" s="17" t="s">
        <v>41</v>
      </c>
      <c r="G41" s="17" t="s">
        <v>41</v>
      </c>
      <c r="H41" s="43">
        <f>1000/I41</f>
        <v>119.74040280671504</v>
      </c>
      <c r="I41" s="43">
        <v>8.3513999999999999</v>
      </c>
      <c r="J41" s="43">
        <v>1.9286659923145</v>
      </c>
      <c r="L41" s="19" t="s">
        <v>70</v>
      </c>
      <c r="M41" s="19" t="s">
        <v>38</v>
      </c>
      <c r="N41" s="18" t="s">
        <v>41</v>
      </c>
      <c r="O41" s="18" t="s">
        <v>41</v>
      </c>
      <c r="P41" s="48" t="s">
        <v>42</v>
      </c>
      <c r="Q41" s="48" t="s">
        <v>69</v>
      </c>
      <c r="R41" s="43" t="s">
        <v>68</v>
      </c>
    </row>
    <row r="42" spans="1:18" x14ac:dyDescent="0.25">
      <c r="A42" s="2">
        <v>9300</v>
      </c>
      <c r="B42" s="2" t="s">
        <v>32</v>
      </c>
      <c r="C42" s="2" t="s">
        <v>33</v>
      </c>
      <c r="D42" s="4">
        <v>1</v>
      </c>
      <c r="E42" s="4">
        <f>1000/D42</f>
        <v>1000</v>
      </c>
      <c r="F42" s="17" t="s">
        <v>41</v>
      </c>
      <c r="G42" s="17" t="s">
        <v>41</v>
      </c>
      <c r="H42" s="43">
        <v>1</v>
      </c>
      <c r="I42" s="45">
        <v>1000</v>
      </c>
      <c r="J42" s="43">
        <v>1</v>
      </c>
      <c r="L42" s="19" t="s">
        <v>70</v>
      </c>
      <c r="M42" s="19" t="s">
        <v>38</v>
      </c>
      <c r="N42" s="18" t="s">
        <v>41</v>
      </c>
      <c r="O42" s="18" t="s">
        <v>41</v>
      </c>
      <c r="P42" s="48" t="s">
        <v>42</v>
      </c>
      <c r="Q42" s="48" t="s">
        <v>43</v>
      </c>
      <c r="R42" s="43" t="s">
        <v>44</v>
      </c>
    </row>
    <row r="43" spans="1:18" x14ac:dyDescent="0.25">
      <c r="A43" s="2" t="s">
        <v>2</v>
      </c>
    </row>
    <row r="44" spans="1:18" x14ac:dyDescent="0.25">
      <c r="A44" s="10">
        <f>IF(LEN(C44)=17,LEFT(C44,4)+(B44-1)/(DATE(LEFT(C44,4)+1,1,1)-DATE(LEFT(C44,4),1,1)),"BAD DATE FORMAT")</f>
        <v>2020.0000018973892</v>
      </c>
      <c r="B44" s="11">
        <f>DATE(LEFT(C44,4),RIGHT(LEFT(C44,7),2),RIGHT(LEFT(C44,10),2))-DATE(LEFT(C44,4),1,1)+1+(RIGHT(LEFT(C44,14),2)*60+RIGHT(C44,2))/1440</f>
        <v>1.0006944444444446</v>
      </c>
      <c r="C44" s="24" t="s">
        <v>71</v>
      </c>
      <c r="L44" s="19"/>
      <c r="M44" s="19"/>
      <c r="N44" s="18"/>
      <c r="O44" s="18"/>
      <c r="P44" s="48"/>
      <c r="Q44" s="48"/>
    </row>
    <row r="45" spans="1:18" x14ac:dyDescent="0.25">
      <c r="A45" s="16">
        <v>1000</v>
      </c>
      <c r="B45" s="2" t="s">
        <v>250</v>
      </c>
      <c r="C45" s="2" t="s">
        <v>34</v>
      </c>
      <c r="D45" s="3">
        <v>142.197</v>
      </c>
      <c r="E45" s="4">
        <f>1000/D45</f>
        <v>7.032497169419889</v>
      </c>
      <c r="F45" s="17" t="s">
        <v>72</v>
      </c>
      <c r="G45" s="17" t="s">
        <v>72</v>
      </c>
      <c r="H45" s="25">
        <f>1000/I45</f>
        <v>142.52323128669974</v>
      </c>
      <c r="I45" s="25">
        <v>7.0164</v>
      </c>
      <c r="J45" s="25">
        <v>1.67449813656697</v>
      </c>
      <c r="L45" s="19" t="s">
        <v>77</v>
      </c>
      <c r="M45" s="19" t="s">
        <v>24</v>
      </c>
      <c r="N45" s="18" t="s">
        <v>72</v>
      </c>
      <c r="O45" s="18" t="s">
        <v>72</v>
      </c>
      <c r="P45" s="48" t="s">
        <v>0</v>
      </c>
      <c r="Q45" s="48" t="s">
        <v>73</v>
      </c>
      <c r="R45" s="48" t="s">
        <v>73</v>
      </c>
    </row>
    <row r="46" spans="1:18" x14ac:dyDescent="0.25">
      <c r="A46" s="2">
        <v>2010</v>
      </c>
      <c r="B46" s="2" t="s">
        <v>36</v>
      </c>
      <c r="C46" s="2" t="s">
        <v>37</v>
      </c>
      <c r="D46" s="3">
        <v>118.85899999999999</v>
      </c>
      <c r="E46" s="4">
        <f>1000/D46</f>
        <v>8.4133300801790352</v>
      </c>
      <c r="F46" s="17" t="s">
        <v>72</v>
      </c>
      <c r="G46" s="17" t="s">
        <v>72</v>
      </c>
      <c r="H46" s="43">
        <f>1000/I46</f>
        <v>119.74040280671504</v>
      </c>
      <c r="I46" s="43">
        <v>8.3513999999999999</v>
      </c>
      <c r="J46" s="43">
        <v>1.9286659923145</v>
      </c>
      <c r="L46" s="19" t="s">
        <v>77</v>
      </c>
      <c r="M46" s="19" t="s">
        <v>24</v>
      </c>
      <c r="N46" s="18" t="s">
        <v>72</v>
      </c>
      <c r="O46" s="18" t="s">
        <v>72</v>
      </c>
      <c r="P46" s="48" t="s">
        <v>0</v>
      </c>
      <c r="Q46" s="48" t="s">
        <v>76</v>
      </c>
      <c r="R46" s="48" t="s">
        <v>76</v>
      </c>
    </row>
    <row r="47" spans="1:18" x14ac:dyDescent="0.25">
      <c r="A47" s="2">
        <v>9300</v>
      </c>
      <c r="B47" s="2" t="s">
        <v>32</v>
      </c>
      <c r="C47" s="2" t="s">
        <v>33</v>
      </c>
      <c r="D47" s="4">
        <v>1</v>
      </c>
      <c r="E47" s="4">
        <f>1000/D47</f>
        <v>1000</v>
      </c>
      <c r="F47" s="17" t="s">
        <v>72</v>
      </c>
      <c r="G47" s="17" t="s">
        <v>72</v>
      </c>
      <c r="H47" s="43">
        <v>1</v>
      </c>
      <c r="I47" s="45">
        <v>1000</v>
      </c>
      <c r="J47" s="43">
        <v>1</v>
      </c>
      <c r="L47" s="19" t="s">
        <v>77</v>
      </c>
      <c r="M47" s="19" t="s">
        <v>24</v>
      </c>
      <c r="N47" s="18" t="s">
        <v>72</v>
      </c>
      <c r="O47" s="18" t="s">
        <v>72</v>
      </c>
      <c r="P47" s="48" t="s">
        <v>0</v>
      </c>
      <c r="Q47" s="48" t="s">
        <v>43</v>
      </c>
      <c r="R47" s="43" t="s">
        <v>44</v>
      </c>
    </row>
    <row r="48" spans="1:18" x14ac:dyDescent="0.25">
      <c r="A48" s="2">
        <v>0</v>
      </c>
      <c r="B48" s="2" t="s">
        <v>74</v>
      </c>
      <c r="C48" s="2" t="s">
        <v>75</v>
      </c>
      <c r="D48" s="4" t="s">
        <v>72</v>
      </c>
      <c r="E48" s="4" t="s">
        <v>72</v>
      </c>
      <c r="F48" s="17" t="s">
        <v>72</v>
      </c>
      <c r="G48" s="17" t="s">
        <v>72</v>
      </c>
      <c r="H48" s="43" t="s">
        <v>72</v>
      </c>
      <c r="I48" s="43" t="s">
        <v>72</v>
      </c>
      <c r="J48" s="43" t="s">
        <v>72</v>
      </c>
      <c r="L48" s="4" t="s">
        <v>72</v>
      </c>
      <c r="M48" s="4" t="s">
        <v>72</v>
      </c>
      <c r="N48" s="17" t="s">
        <v>72</v>
      </c>
      <c r="O48" s="17" t="s">
        <v>72</v>
      </c>
      <c r="P48" s="43" t="s">
        <v>72</v>
      </c>
      <c r="Q48" s="43" t="s">
        <v>72</v>
      </c>
      <c r="R48" s="43" t="s">
        <v>72</v>
      </c>
    </row>
    <row r="49" spans="1:20" x14ac:dyDescent="0.25">
      <c r="A49" s="2" t="s">
        <v>2</v>
      </c>
    </row>
    <row r="50" spans="1:20" x14ac:dyDescent="0.25">
      <c r="A50" s="10">
        <f>IF(LEN(C50)=17,LEFT(C50,4)+(B50-1)/(DATE(LEFT(C50,4)+1,1,1)-DATE(LEFT(C50,4),1,1)),"BAD DATE FORMAT")</f>
        <v>2020.5819691105039</v>
      </c>
      <c r="B50" s="11">
        <f>DATE(LEFT(C50,4),RIGHT(LEFT(C50,7),2),RIGHT(LEFT(C50,10),2))-DATE(LEFT(C50,4),1,1)+1+(RIGHT(LEFT(C50,14),2)*60+RIGHT(C50,2))/1440</f>
        <v>214.00069444444443</v>
      </c>
      <c r="C50" s="24" t="s">
        <v>109</v>
      </c>
      <c r="L50" s="19"/>
      <c r="M50" s="19"/>
      <c r="N50" s="18"/>
      <c r="O50" s="18"/>
      <c r="P50" s="48"/>
      <c r="Q50" s="48"/>
      <c r="S50" t="s">
        <v>108</v>
      </c>
    </row>
    <row r="51" spans="1:20" x14ac:dyDescent="0.25">
      <c r="A51" s="16">
        <v>1000</v>
      </c>
      <c r="B51" s="10" t="s">
        <v>250</v>
      </c>
      <c r="C51" s="2" t="s">
        <v>34</v>
      </c>
      <c r="D51" s="3">
        <v>1</v>
      </c>
      <c r="E51" s="4">
        <f>1000/D51</f>
        <v>1000</v>
      </c>
      <c r="F51" s="17" t="s">
        <v>72</v>
      </c>
      <c r="G51" s="17" t="s">
        <v>72</v>
      </c>
      <c r="H51" s="43">
        <f>1000/I51</f>
        <v>142.52323128669974</v>
      </c>
      <c r="I51" s="43">
        <v>7.0164</v>
      </c>
      <c r="J51" s="43">
        <v>1.67449813656697</v>
      </c>
      <c r="L51" s="19" t="s">
        <v>95</v>
      </c>
      <c r="M51" s="19" t="s">
        <v>24</v>
      </c>
      <c r="N51" s="18" t="s">
        <v>72</v>
      </c>
      <c r="O51" s="18" t="s">
        <v>72</v>
      </c>
      <c r="P51" s="48" t="s">
        <v>0</v>
      </c>
      <c r="Q51" s="48" t="s">
        <v>73</v>
      </c>
      <c r="R51" s="48" t="s">
        <v>73</v>
      </c>
      <c r="S51" s="28"/>
    </row>
    <row r="52" spans="1:20" x14ac:dyDescent="0.25">
      <c r="A52" s="16">
        <v>2010</v>
      </c>
      <c r="B52" s="2" t="s">
        <v>36</v>
      </c>
      <c r="C52" s="2" t="s">
        <v>37</v>
      </c>
      <c r="D52" s="3">
        <v>1</v>
      </c>
      <c r="E52" s="4">
        <f>1000/D52</f>
        <v>1000</v>
      </c>
      <c r="F52" s="17" t="s">
        <v>72</v>
      </c>
      <c r="G52" s="17" t="s">
        <v>72</v>
      </c>
      <c r="H52" s="43">
        <f>1000/I52</f>
        <v>119.74040280671504</v>
      </c>
      <c r="I52" s="43">
        <v>8.3513999999999999</v>
      </c>
      <c r="J52" s="43">
        <v>1.9286659923145</v>
      </c>
      <c r="L52" s="19" t="s">
        <v>95</v>
      </c>
      <c r="M52" s="19" t="s">
        <v>24</v>
      </c>
      <c r="N52" s="18" t="s">
        <v>72</v>
      </c>
      <c r="O52" s="18" t="s">
        <v>72</v>
      </c>
      <c r="P52" s="48" t="s">
        <v>0</v>
      </c>
      <c r="Q52" s="48" t="s">
        <v>76</v>
      </c>
      <c r="R52" s="48" t="s">
        <v>76</v>
      </c>
      <c r="S52" s="28"/>
    </row>
    <row r="53" spans="1:20" x14ac:dyDescent="0.25">
      <c r="A53" s="16">
        <v>3000</v>
      </c>
      <c r="B53" s="10" t="s">
        <v>85</v>
      </c>
      <c r="C53" s="24" t="s">
        <v>86</v>
      </c>
      <c r="D53" s="3">
        <v>1</v>
      </c>
      <c r="E53" s="4">
        <f>1000/D53</f>
        <v>1000</v>
      </c>
      <c r="F53" s="17" t="s">
        <v>72</v>
      </c>
      <c r="G53" s="17" t="s">
        <v>72</v>
      </c>
      <c r="H53" s="43">
        <f>1000/I53</f>
        <v>118.79870747006272</v>
      </c>
      <c r="I53" s="43">
        <v>8.4176000000000002</v>
      </c>
      <c r="J53" s="43">
        <v>2.2908047722416698</v>
      </c>
      <c r="L53" s="19" t="s">
        <v>95</v>
      </c>
      <c r="M53" s="19" t="s">
        <v>24</v>
      </c>
      <c r="N53" s="18" t="s">
        <v>72</v>
      </c>
      <c r="O53" s="18" t="s">
        <v>72</v>
      </c>
      <c r="P53" s="48" t="s">
        <v>0</v>
      </c>
      <c r="Q53" s="48" t="s">
        <v>101</v>
      </c>
      <c r="R53" s="48" t="s">
        <v>101</v>
      </c>
      <c r="S53" s="28"/>
    </row>
    <row r="54" spans="1:20" x14ac:dyDescent="0.25">
      <c r="A54" s="16">
        <v>0</v>
      </c>
      <c r="B54" s="10" t="s">
        <v>84</v>
      </c>
      <c r="C54" s="24" t="s">
        <v>81</v>
      </c>
      <c r="D54" s="3" t="s">
        <v>72</v>
      </c>
      <c r="E54" s="3" t="s">
        <v>72</v>
      </c>
      <c r="F54" s="17" t="s">
        <v>72</v>
      </c>
      <c r="G54" s="17" t="s">
        <v>72</v>
      </c>
      <c r="H54" s="43" t="s">
        <v>72</v>
      </c>
      <c r="I54" s="43" t="s">
        <v>72</v>
      </c>
      <c r="J54" s="43" t="s">
        <v>72</v>
      </c>
      <c r="L54" s="19" t="s">
        <v>95</v>
      </c>
      <c r="M54" s="19" t="s">
        <v>24</v>
      </c>
      <c r="N54" s="18" t="s">
        <v>72</v>
      </c>
      <c r="O54" s="18" t="s">
        <v>72</v>
      </c>
      <c r="P54" s="43" t="s">
        <v>72</v>
      </c>
      <c r="Q54" s="43" t="s">
        <v>72</v>
      </c>
      <c r="R54" s="43" t="s">
        <v>72</v>
      </c>
      <c r="S54" s="27" t="s">
        <v>105</v>
      </c>
    </row>
    <row r="55" spans="1:20" x14ac:dyDescent="0.25">
      <c r="A55" s="16">
        <v>0</v>
      </c>
      <c r="B55" s="10" t="s">
        <v>84</v>
      </c>
      <c r="C55" s="24" t="s">
        <v>82</v>
      </c>
      <c r="D55" s="3" t="s">
        <v>72</v>
      </c>
      <c r="E55" s="3" t="s">
        <v>72</v>
      </c>
      <c r="F55" s="17" t="s">
        <v>72</v>
      </c>
      <c r="G55" s="17" t="s">
        <v>72</v>
      </c>
      <c r="H55" s="43" t="s">
        <v>72</v>
      </c>
      <c r="I55" s="43" t="s">
        <v>72</v>
      </c>
      <c r="J55" s="43" t="s">
        <v>72</v>
      </c>
      <c r="L55" s="19" t="s">
        <v>95</v>
      </c>
      <c r="M55" s="19" t="s">
        <v>24</v>
      </c>
      <c r="N55" s="18" t="s">
        <v>72</v>
      </c>
      <c r="O55" s="18" t="s">
        <v>72</v>
      </c>
      <c r="P55" s="43" t="s">
        <v>72</v>
      </c>
      <c r="Q55" s="43" t="s">
        <v>72</v>
      </c>
      <c r="R55" s="43" t="s">
        <v>72</v>
      </c>
      <c r="S55" s="27" t="s">
        <v>104</v>
      </c>
      <c r="T55" s="27" t="s">
        <v>106</v>
      </c>
    </row>
    <row r="56" spans="1:20" x14ac:dyDescent="0.25">
      <c r="A56" s="16">
        <v>0</v>
      </c>
      <c r="B56" s="10" t="s">
        <v>84</v>
      </c>
      <c r="C56" s="24" t="s">
        <v>83</v>
      </c>
      <c r="D56" s="3" t="s">
        <v>72</v>
      </c>
      <c r="E56" s="3" t="s">
        <v>72</v>
      </c>
      <c r="F56" s="17" t="s">
        <v>72</v>
      </c>
      <c r="G56" s="17" t="s">
        <v>72</v>
      </c>
      <c r="H56" s="43" t="s">
        <v>72</v>
      </c>
      <c r="I56" s="43" t="s">
        <v>72</v>
      </c>
      <c r="J56" s="43" t="s">
        <v>72</v>
      </c>
      <c r="L56" s="19" t="s">
        <v>95</v>
      </c>
      <c r="M56" s="19" t="s">
        <v>24</v>
      </c>
      <c r="N56" s="18" t="s">
        <v>72</v>
      </c>
      <c r="O56" s="18" t="s">
        <v>72</v>
      </c>
      <c r="P56" s="43" t="s">
        <v>72</v>
      </c>
      <c r="Q56" s="43" t="s">
        <v>72</v>
      </c>
      <c r="R56" s="43" t="s">
        <v>72</v>
      </c>
      <c r="S56" s="27" t="s">
        <v>104</v>
      </c>
      <c r="T56" s="27" t="s">
        <v>107</v>
      </c>
    </row>
    <row r="57" spans="1:20" x14ac:dyDescent="0.25">
      <c r="A57" s="10" t="s">
        <v>78</v>
      </c>
      <c r="B57" s="10" t="s">
        <v>251</v>
      </c>
      <c r="C57" s="2" t="s">
        <v>90</v>
      </c>
      <c r="D57" s="3">
        <v>1</v>
      </c>
      <c r="E57" s="4">
        <f t="shared" ref="E57:E59" si="0">1000/D57</f>
        <v>1000</v>
      </c>
      <c r="F57" s="17" t="s">
        <v>72</v>
      </c>
      <c r="G57" s="17" t="s">
        <v>72</v>
      </c>
      <c r="H57" s="43">
        <f>1000/I57</f>
        <v>142.52323128669974</v>
      </c>
      <c r="I57" s="43">
        <v>7.0164</v>
      </c>
      <c r="J57" s="43">
        <v>1.67449813656697</v>
      </c>
      <c r="L57" s="19" t="s">
        <v>95</v>
      </c>
      <c r="M57" s="19" t="s">
        <v>24</v>
      </c>
      <c r="N57" s="18" t="s">
        <v>72</v>
      </c>
      <c r="O57" s="18" t="s">
        <v>72</v>
      </c>
      <c r="P57" s="48" t="s">
        <v>0</v>
      </c>
      <c r="Q57" s="48" t="s">
        <v>73</v>
      </c>
      <c r="R57" s="48" t="s">
        <v>73</v>
      </c>
    </row>
    <row r="58" spans="1:20" x14ac:dyDescent="0.25">
      <c r="A58" s="10" t="s">
        <v>79</v>
      </c>
      <c r="B58" s="2" t="s">
        <v>91</v>
      </c>
      <c r="C58" s="2" t="s">
        <v>93</v>
      </c>
      <c r="D58" s="3">
        <v>1</v>
      </c>
      <c r="E58" s="4">
        <f t="shared" si="0"/>
        <v>1000</v>
      </c>
      <c r="F58" s="17" t="s">
        <v>72</v>
      </c>
      <c r="G58" s="17" t="s">
        <v>72</v>
      </c>
      <c r="H58" s="43">
        <f>1000/I58</f>
        <v>119.74040280671504</v>
      </c>
      <c r="I58" s="43">
        <v>8.3513999999999999</v>
      </c>
      <c r="J58" s="43">
        <v>1.9286659923145</v>
      </c>
      <c r="L58" s="19" t="s">
        <v>95</v>
      </c>
      <c r="M58" s="19" t="s">
        <v>24</v>
      </c>
      <c r="N58" s="18" t="s">
        <v>72</v>
      </c>
      <c r="O58" s="18" t="s">
        <v>72</v>
      </c>
      <c r="P58" s="48" t="s">
        <v>0</v>
      </c>
      <c r="Q58" s="48" t="s">
        <v>76</v>
      </c>
      <c r="R58" s="48" t="s">
        <v>76</v>
      </c>
    </row>
    <row r="59" spans="1:20" x14ac:dyDescent="0.25">
      <c r="A59" s="10" t="s">
        <v>80</v>
      </c>
      <c r="B59" s="10" t="s">
        <v>252</v>
      </c>
      <c r="C59" s="24" t="s">
        <v>94</v>
      </c>
      <c r="D59" s="3">
        <v>1</v>
      </c>
      <c r="E59" s="4">
        <f t="shared" si="0"/>
        <v>1000</v>
      </c>
      <c r="F59" s="17" t="s">
        <v>72</v>
      </c>
      <c r="G59" s="17" t="s">
        <v>72</v>
      </c>
      <c r="H59" s="43">
        <f>1000/I59</f>
        <v>118.79870747006272</v>
      </c>
      <c r="I59" s="43">
        <v>8.4176000000000002</v>
      </c>
      <c r="J59" s="43">
        <v>2.2908047722416698</v>
      </c>
      <c r="L59" s="19" t="s">
        <v>95</v>
      </c>
      <c r="M59" s="19" t="s">
        <v>24</v>
      </c>
      <c r="N59" s="18" t="s">
        <v>72</v>
      </c>
      <c r="O59" s="18" t="s">
        <v>72</v>
      </c>
      <c r="P59" s="48" t="s">
        <v>0</v>
      </c>
      <c r="Q59" s="48" t="s">
        <v>101</v>
      </c>
      <c r="R59" s="48" t="s">
        <v>101</v>
      </c>
    </row>
    <row r="60" spans="1:20" x14ac:dyDescent="0.25">
      <c r="A60" s="2">
        <v>7009</v>
      </c>
      <c r="B60" s="26" t="s">
        <v>97</v>
      </c>
      <c r="C60" s="26" t="s">
        <v>87</v>
      </c>
      <c r="D60" s="3">
        <v>1</v>
      </c>
      <c r="E60" s="4">
        <v>1000</v>
      </c>
      <c r="F60" s="17" t="s">
        <v>72</v>
      </c>
      <c r="G60" s="17" t="s">
        <v>72</v>
      </c>
      <c r="H60" s="43">
        <v>1</v>
      </c>
      <c r="I60" s="43">
        <v>1000</v>
      </c>
      <c r="J60" s="43">
        <v>5</v>
      </c>
      <c r="L60" s="19" t="s">
        <v>95</v>
      </c>
      <c r="M60" s="19" t="s">
        <v>24</v>
      </c>
      <c r="N60" s="18" t="s">
        <v>72</v>
      </c>
      <c r="O60" s="18" t="s">
        <v>72</v>
      </c>
      <c r="P60" s="48" t="s">
        <v>102</v>
      </c>
      <c r="Q60" s="48" t="s">
        <v>102</v>
      </c>
      <c r="R60" s="43" t="s">
        <v>44</v>
      </c>
      <c r="S60" t="s">
        <v>103</v>
      </c>
    </row>
    <row r="61" spans="1:20" x14ac:dyDescent="0.25">
      <c r="A61" s="2">
        <v>7008</v>
      </c>
      <c r="B61" s="26" t="s">
        <v>98</v>
      </c>
      <c r="C61" s="26" t="s">
        <v>96</v>
      </c>
      <c r="D61" s="3">
        <v>1</v>
      </c>
      <c r="E61" s="4">
        <v>1000</v>
      </c>
      <c r="F61" s="17" t="s">
        <v>72</v>
      </c>
      <c r="G61" s="17" t="s">
        <v>72</v>
      </c>
      <c r="H61" s="43">
        <v>1</v>
      </c>
      <c r="I61" s="43">
        <v>1000</v>
      </c>
      <c r="J61" s="43">
        <v>5</v>
      </c>
      <c r="L61" s="19" t="s">
        <v>95</v>
      </c>
      <c r="M61" s="19" t="s">
        <v>24</v>
      </c>
      <c r="N61" s="18" t="s">
        <v>72</v>
      </c>
      <c r="O61" s="18" t="s">
        <v>72</v>
      </c>
      <c r="P61" s="48" t="s">
        <v>102</v>
      </c>
      <c r="Q61" s="48" t="s">
        <v>102</v>
      </c>
      <c r="R61" s="43" t="s">
        <v>44</v>
      </c>
    </row>
    <row r="62" spans="1:20" x14ac:dyDescent="0.25">
      <c r="A62" s="2">
        <v>9388</v>
      </c>
      <c r="B62" s="26" t="s">
        <v>99</v>
      </c>
      <c r="C62" s="26" t="s">
        <v>88</v>
      </c>
      <c r="D62" s="3">
        <v>1</v>
      </c>
      <c r="E62" s="4">
        <v>1000</v>
      </c>
      <c r="F62" s="17" t="s">
        <v>72</v>
      </c>
      <c r="G62" s="17" t="s">
        <v>72</v>
      </c>
      <c r="H62" s="43">
        <v>1</v>
      </c>
      <c r="I62" s="43">
        <v>1000</v>
      </c>
      <c r="J62" s="43">
        <v>1</v>
      </c>
      <c r="L62" s="19" t="s">
        <v>95</v>
      </c>
      <c r="M62" s="19" t="s">
        <v>24</v>
      </c>
      <c r="N62" s="18" t="s">
        <v>72</v>
      </c>
      <c r="O62" s="18" t="s">
        <v>72</v>
      </c>
      <c r="P62" s="48" t="s">
        <v>102</v>
      </c>
      <c r="Q62" s="48" t="s">
        <v>102</v>
      </c>
      <c r="R62" s="43" t="s">
        <v>44</v>
      </c>
    </row>
    <row r="63" spans="1:20" x14ac:dyDescent="0.25">
      <c r="A63" s="2">
        <v>9389</v>
      </c>
      <c r="B63" s="26" t="s">
        <v>100</v>
      </c>
      <c r="C63" s="26" t="s">
        <v>89</v>
      </c>
      <c r="D63" s="3">
        <v>1</v>
      </c>
      <c r="E63" s="4">
        <v>1000</v>
      </c>
      <c r="F63" s="17" t="s">
        <v>72</v>
      </c>
      <c r="G63" s="17" t="s">
        <v>72</v>
      </c>
      <c r="H63" s="43">
        <v>1</v>
      </c>
      <c r="I63" s="43">
        <v>1000</v>
      </c>
      <c r="J63" s="43">
        <v>1</v>
      </c>
      <c r="L63" s="19" t="s">
        <v>95</v>
      </c>
      <c r="M63" s="19" t="s">
        <v>24</v>
      </c>
      <c r="N63" s="18" t="s">
        <v>72</v>
      </c>
      <c r="O63" s="18" t="s">
        <v>72</v>
      </c>
      <c r="P63" s="48" t="s">
        <v>102</v>
      </c>
      <c r="Q63" s="48" t="s">
        <v>102</v>
      </c>
      <c r="R63" s="43" t="s">
        <v>44</v>
      </c>
    </row>
    <row r="64" spans="1:20" x14ac:dyDescent="0.25">
      <c r="A64" s="2">
        <v>9300</v>
      </c>
      <c r="B64" s="2" t="s">
        <v>32</v>
      </c>
      <c r="C64" s="2" t="s">
        <v>33</v>
      </c>
      <c r="D64" s="4">
        <v>1</v>
      </c>
      <c r="E64" s="4">
        <f>1000/D64</f>
        <v>1000</v>
      </c>
      <c r="F64" s="17" t="s">
        <v>72</v>
      </c>
      <c r="G64" s="17" t="s">
        <v>72</v>
      </c>
      <c r="H64" s="43">
        <v>1</v>
      </c>
      <c r="I64" s="45">
        <v>1000</v>
      </c>
      <c r="J64" s="43">
        <v>1</v>
      </c>
      <c r="L64" s="19" t="s">
        <v>95</v>
      </c>
      <c r="M64" s="19" t="s">
        <v>24</v>
      </c>
      <c r="N64" s="18" t="s">
        <v>72</v>
      </c>
      <c r="O64" s="18" t="s">
        <v>72</v>
      </c>
      <c r="P64" s="48" t="s">
        <v>0</v>
      </c>
      <c r="Q64" s="48" t="s">
        <v>43</v>
      </c>
      <c r="R64" s="43" t="s">
        <v>44</v>
      </c>
    </row>
    <row r="65" spans="1:20" x14ac:dyDescent="0.25">
      <c r="A65" s="2">
        <v>0</v>
      </c>
      <c r="B65" s="2" t="s">
        <v>74</v>
      </c>
      <c r="C65" s="2" t="s">
        <v>75</v>
      </c>
      <c r="D65" s="4" t="s">
        <v>72</v>
      </c>
      <c r="E65" s="4" t="s">
        <v>72</v>
      </c>
      <c r="F65" s="17" t="s">
        <v>72</v>
      </c>
      <c r="G65" s="17" t="s">
        <v>72</v>
      </c>
      <c r="H65" s="43" t="s">
        <v>72</v>
      </c>
      <c r="I65" s="43" t="s">
        <v>72</v>
      </c>
      <c r="J65" s="43" t="s">
        <v>72</v>
      </c>
      <c r="L65" s="19" t="s">
        <v>95</v>
      </c>
      <c r="M65" s="19" t="s">
        <v>24</v>
      </c>
      <c r="N65" s="17" t="s">
        <v>72</v>
      </c>
      <c r="O65" s="17" t="s">
        <v>72</v>
      </c>
      <c r="P65" s="43" t="s">
        <v>72</v>
      </c>
      <c r="Q65" s="43" t="s">
        <v>72</v>
      </c>
      <c r="R65" s="43" t="s">
        <v>72</v>
      </c>
    </row>
    <row r="66" spans="1:20" x14ac:dyDescent="0.25">
      <c r="A66" s="2" t="s">
        <v>2</v>
      </c>
    </row>
    <row r="67" spans="1:20" x14ac:dyDescent="0.25">
      <c r="A67" s="10">
        <f>IF(LEN(C67)=17,LEFT(C67,4)+(B67-1)/(DATE(LEFT(C67,4)+1,1,1)-DATE(LEFT(C67,4),1,1)),"BAD DATE FORMAT")</f>
        <v>2021.0000019025874</v>
      </c>
      <c r="B67" s="11">
        <f>DATE(LEFT(C67,4),RIGHT(LEFT(C67,7),2),RIGHT(LEFT(C67,10),2))-DATE(LEFT(C67,4),1,1)+1+(RIGHT(LEFT(C67,14),2)*60+RIGHT(C67,2))/1440</f>
        <v>1.0006944444444446</v>
      </c>
      <c r="C67" s="24" t="s">
        <v>110</v>
      </c>
      <c r="L67" s="19"/>
      <c r="M67" s="19"/>
      <c r="N67" s="18"/>
      <c r="O67" s="18"/>
      <c r="P67" s="48"/>
      <c r="Q67" s="48"/>
      <c r="S67" t="s">
        <v>108</v>
      </c>
    </row>
    <row r="68" spans="1:20" x14ac:dyDescent="0.25">
      <c r="A68" s="16">
        <v>1000</v>
      </c>
      <c r="B68" s="10" t="s">
        <v>250</v>
      </c>
      <c r="C68" s="2" t="s">
        <v>120</v>
      </c>
      <c r="D68" s="3">
        <v>1</v>
      </c>
      <c r="E68" s="4">
        <f>1000/D68</f>
        <v>1000</v>
      </c>
      <c r="F68" s="17" t="s">
        <v>72</v>
      </c>
      <c r="G68" s="17" t="s">
        <v>72</v>
      </c>
      <c r="H68" s="43">
        <f>1000/I68</f>
        <v>142.90613924774209</v>
      </c>
      <c r="I68" s="24">
        <v>6.9976000000000003</v>
      </c>
      <c r="J68" s="24">
        <v>1.80205774681044</v>
      </c>
      <c r="L68" s="19" t="s">
        <v>95</v>
      </c>
      <c r="M68" s="19" t="s">
        <v>24</v>
      </c>
      <c r="N68" s="18" t="s">
        <v>72</v>
      </c>
      <c r="O68" s="18" t="s">
        <v>72</v>
      </c>
      <c r="P68" s="48" t="s">
        <v>0</v>
      </c>
      <c r="Q68" s="48" t="s">
        <v>113</v>
      </c>
      <c r="R68" s="48" t="s">
        <v>113</v>
      </c>
      <c r="S68" s="28"/>
    </row>
    <row r="69" spans="1:20" x14ac:dyDescent="0.25">
      <c r="A69" s="16">
        <v>2010</v>
      </c>
      <c r="B69" s="2" t="s">
        <v>36</v>
      </c>
      <c r="C69" s="2" t="s">
        <v>121</v>
      </c>
      <c r="D69" s="3">
        <v>1</v>
      </c>
      <c r="E69" s="4">
        <f>1000/D69</f>
        <v>1000</v>
      </c>
      <c r="F69" s="17" t="s">
        <v>72</v>
      </c>
      <c r="G69" s="17" t="s">
        <v>72</v>
      </c>
      <c r="H69" s="43">
        <f>1000/I69</f>
        <v>119.39443144371747</v>
      </c>
      <c r="I69" s="24">
        <v>8.3756000000000004</v>
      </c>
      <c r="J69" s="24">
        <v>2.03531169831321</v>
      </c>
      <c r="L69" s="19" t="s">
        <v>95</v>
      </c>
      <c r="M69" s="19" t="s">
        <v>24</v>
      </c>
      <c r="N69" s="18" t="s">
        <v>72</v>
      </c>
      <c r="O69" s="18" t="s">
        <v>72</v>
      </c>
      <c r="P69" s="48" t="s">
        <v>0</v>
      </c>
      <c r="Q69" s="48" t="s">
        <v>111</v>
      </c>
      <c r="R69" s="48" t="s">
        <v>111</v>
      </c>
      <c r="S69" s="28"/>
    </row>
    <row r="70" spans="1:20" x14ac:dyDescent="0.25">
      <c r="A70" s="16">
        <v>3000</v>
      </c>
      <c r="B70" s="10" t="s">
        <v>85</v>
      </c>
      <c r="C70" s="24" t="s">
        <v>122</v>
      </c>
      <c r="D70" s="3">
        <v>1</v>
      </c>
      <c r="E70" s="4">
        <f>1000/D70</f>
        <v>1000</v>
      </c>
      <c r="F70" s="17" t="s">
        <v>72</v>
      </c>
      <c r="G70" s="17" t="s">
        <v>72</v>
      </c>
      <c r="H70" s="43">
        <f>1000/I70</f>
        <v>118.49745230477545</v>
      </c>
      <c r="I70" s="24">
        <v>8.4390000000000001</v>
      </c>
      <c r="J70" s="24">
        <v>2.20773173146471</v>
      </c>
      <c r="L70" s="19" t="s">
        <v>95</v>
      </c>
      <c r="M70" s="19" t="s">
        <v>24</v>
      </c>
      <c r="N70" s="18" t="s">
        <v>72</v>
      </c>
      <c r="O70" s="18" t="s">
        <v>72</v>
      </c>
      <c r="P70" s="48" t="s">
        <v>0</v>
      </c>
      <c r="Q70" s="48" t="s">
        <v>112</v>
      </c>
      <c r="R70" s="48" t="s">
        <v>112</v>
      </c>
      <c r="S70" s="28"/>
    </row>
    <row r="71" spans="1:20" x14ac:dyDescent="0.25">
      <c r="A71" s="16">
        <v>0</v>
      </c>
      <c r="B71" s="10" t="s">
        <v>84</v>
      </c>
      <c r="C71" s="24" t="s">
        <v>81</v>
      </c>
      <c r="D71" s="3" t="s">
        <v>72</v>
      </c>
      <c r="E71" s="3" t="s">
        <v>72</v>
      </c>
      <c r="F71" s="17" t="s">
        <v>72</v>
      </c>
      <c r="G71" s="17" t="s">
        <v>72</v>
      </c>
      <c r="H71" s="43" t="s">
        <v>72</v>
      </c>
      <c r="I71" s="43" t="s">
        <v>72</v>
      </c>
      <c r="J71" s="43" t="s">
        <v>72</v>
      </c>
      <c r="L71" s="19" t="s">
        <v>95</v>
      </c>
      <c r="M71" s="19" t="s">
        <v>24</v>
      </c>
      <c r="N71" s="18" t="s">
        <v>72</v>
      </c>
      <c r="O71" s="18" t="s">
        <v>72</v>
      </c>
      <c r="P71" s="43" t="s">
        <v>72</v>
      </c>
      <c r="Q71" s="43" t="s">
        <v>72</v>
      </c>
      <c r="R71" s="43" t="s">
        <v>72</v>
      </c>
      <c r="S71" s="27" t="s">
        <v>105</v>
      </c>
    </row>
    <row r="72" spans="1:20" x14ac:dyDescent="0.25">
      <c r="A72" s="16">
        <v>0</v>
      </c>
      <c r="B72" s="10" t="s">
        <v>84</v>
      </c>
      <c r="C72" s="24" t="s">
        <v>82</v>
      </c>
      <c r="D72" s="3" t="s">
        <v>72</v>
      </c>
      <c r="E72" s="3" t="s">
        <v>72</v>
      </c>
      <c r="F72" s="17" t="s">
        <v>72</v>
      </c>
      <c r="G72" s="17" t="s">
        <v>72</v>
      </c>
      <c r="H72" s="43" t="s">
        <v>72</v>
      </c>
      <c r="I72" s="43" t="s">
        <v>72</v>
      </c>
      <c r="J72" s="43" t="s">
        <v>72</v>
      </c>
      <c r="L72" s="19" t="s">
        <v>95</v>
      </c>
      <c r="M72" s="19" t="s">
        <v>24</v>
      </c>
      <c r="N72" s="18" t="s">
        <v>72</v>
      </c>
      <c r="O72" s="18" t="s">
        <v>72</v>
      </c>
      <c r="P72" s="43" t="s">
        <v>72</v>
      </c>
      <c r="Q72" s="43" t="s">
        <v>72</v>
      </c>
      <c r="R72" s="43" t="s">
        <v>72</v>
      </c>
      <c r="S72" s="27" t="s">
        <v>104</v>
      </c>
      <c r="T72" s="27" t="s">
        <v>106</v>
      </c>
    </row>
    <row r="73" spans="1:20" x14ac:dyDescent="0.25">
      <c r="A73" s="16">
        <v>0</v>
      </c>
      <c r="B73" s="10" t="s">
        <v>84</v>
      </c>
      <c r="C73" s="24" t="s">
        <v>83</v>
      </c>
      <c r="D73" s="3" t="s">
        <v>72</v>
      </c>
      <c r="E73" s="3" t="s">
        <v>72</v>
      </c>
      <c r="F73" s="17" t="s">
        <v>72</v>
      </c>
      <c r="G73" s="17" t="s">
        <v>72</v>
      </c>
      <c r="H73" s="43" t="s">
        <v>72</v>
      </c>
      <c r="I73" s="43" t="s">
        <v>72</v>
      </c>
      <c r="J73" s="43" t="s">
        <v>72</v>
      </c>
      <c r="L73" s="19" t="s">
        <v>95</v>
      </c>
      <c r="M73" s="19" t="s">
        <v>24</v>
      </c>
      <c r="N73" s="18" t="s">
        <v>72</v>
      </c>
      <c r="O73" s="18" t="s">
        <v>72</v>
      </c>
      <c r="P73" s="43" t="s">
        <v>72</v>
      </c>
      <c r="Q73" s="43" t="s">
        <v>72</v>
      </c>
      <c r="R73" s="43" t="s">
        <v>72</v>
      </c>
      <c r="S73" s="27" t="s">
        <v>104</v>
      </c>
      <c r="T73" s="27" t="s">
        <v>107</v>
      </c>
    </row>
    <row r="74" spans="1:20" x14ac:dyDescent="0.25">
      <c r="A74" s="10" t="s">
        <v>78</v>
      </c>
      <c r="B74" s="10" t="s">
        <v>251</v>
      </c>
      <c r="C74" s="2" t="s">
        <v>123</v>
      </c>
      <c r="D74" s="3">
        <v>1</v>
      </c>
      <c r="E74" s="4">
        <f t="shared" ref="E74:E76" si="1">1000/D74</f>
        <v>1000</v>
      </c>
      <c r="F74" s="17" t="s">
        <v>72</v>
      </c>
      <c r="G74" s="17" t="s">
        <v>72</v>
      </c>
      <c r="H74" s="43">
        <f>1000/I74</f>
        <v>142.90613924774209</v>
      </c>
      <c r="I74" s="24">
        <v>6.9976000000000003</v>
      </c>
      <c r="J74" s="24">
        <v>1.80205774681044</v>
      </c>
      <c r="L74" s="19" t="s">
        <v>95</v>
      </c>
      <c r="M74" s="19" t="s">
        <v>24</v>
      </c>
      <c r="N74" s="18" t="s">
        <v>72</v>
      </c>
      <c r="O74" s="18" t="s">
        <v>72</v>
      </c>
      <c r="P74" s="48" t="s">
        <v>0</v>
      </c>
      <c r="Q74" s="48" t="s">
        <v>113</v>
      </c>
      <c r="R74" s="48" t="s">
        <v>113</v>
      </c>
    </row>
    <row r="75" spans="1:20" x14ac:dyDescent="0.25">
      <c r="A75" s="10" t="s">
        <v>79</v>
      </c>
      <c r="B75" s="2" t="s">
        <v>91</v>
      </c>
      <c r="C75" s="2" t="s">
        <v>124</v>
      </c>
      <c r="D75" s="3">
        <v>1</v>
      </c>
      <c r="E75" s="4">
        <f t="shared" si="1"/>
        <v>1000</v>
      </c>
      <c r="F75" s="17" t="s">
        <v>72</v>
      </c>
      <c r="G75" s="17" t="s">
        <v>72</v>
      </c>
      <c r="H75" s="43">
        <f>1000/I75</f>
        <v>119.39443144371747</v>
      </c>
      <c r="I75" s="24">
        <v>8.3756000000000004</v>
      </c>
      <c r="J75" s="24">
        <v>2.03531169831321</v>
      </c>
      <c r="L75" s="19" t="s">
        <v>95</v>
      </c>
      <c r="M75" s="19" t="s">
        <v>24</v>
      </c>
      <c r="N75" s="18" t="s">
        <v>72</v>
      </c>
      <c r="O75" s="18" t="s">
        <v>72</v>
      </c>
      <c r="P75" s="48" t="s">
        <v>0</v>
      </c>
      <c r="Q75" s="48" t="s">
        <v>111</v>
      </c>
      <c r="R75" s="48" t="s">
        <v>111</v>
      </c>
    </row>
    <row r="76" spans="1:20" x14ac:dyDescent="0.25">
      <c r="A76" s="10" t="s">
        <v>80</v>
      </c>
      <c r="B76" s="10" t="s">
        <v>92</v>
      </c>
      <c r="C76" s="24" t="s">
        <v>125</v>
      </c>
      <c r="D76" s="3">
        <v>1</v>
      </c>
      <c r="E76" s="4">
        <f t="shared" si="1"/>
        <v>1000</v>
      </c>
      <c r="F76" s="17" t="s">
        <v>72</v>
      </c>
      <c r="G76" s="17" t="s">
        <v>72</v>
      </c>
      <c r="H76" s="43">
        <f>1000/I76</f>
        <v>118.49745230477545</v>
      </c>
      <c r="I76" s="24">
        <v>8.4390000000000001</v>
      </c>
      <c r="J76" s="24">
        <v>2.20773173146471</v>
      </c>
      <c r="L76" s="19" t="s">
        <v>95</v>
      </c>
      <c r="M76" s="19" t="s">
        <v>24</v>
      </c>
      <c r="N76" s="18" t="s">
        <v>72</v>
      </c>
      <c r="O76" s="18" t="s">
        <v>72</v>
      </c>
      <c r="P76" s="48" t="s">
        <v>0</v>
      </c>
      <c r="Q76" s="48" t="s">
        <v>112</v>
      </c>
      <c r="R76" s="48" t="s">
        <v>112</v>
      </c>
    </row>
    <row r="77" spans="1:20" x14ac:dyDescent="0.25">
      <c r="A77" s="2">
        <v>7009</v>
      </c>
      <c r="B77" s="2" t="s">
        <v>97</v>
      </c>
      <c r="C77" s="26" t="s">
        <v>87</v>
      </c>
      <c r="D77" s="3">
        <v>1</v>
      </c>
      <c r="E77" s="4">
        <v>1000</v>
      </c>
      <c r="F77" s="17" t="s">
        <v>72</v>
      </c>
      <c r="G77" s="17" t="s">
        <v>72</v>
      </c>
      <c r="H77" s="43">
        <v>1</v>
      </c>
      <c r="I77" s="43">
        <v>1000</v>
      </c>
      <c r="J77" s="43">
        <v>5</v>
      </c>
      <c r="L77" s="19" t="s">
        <v>95</v>
      </c>
      <c r="M77" s="19" t="s">
        <v>24</v>
      </c>
      <c r="N77" s="18" t="s">
        <v>72</v>
      </c>
      <c r="O77" s="18" t="s">
        <v>72</v>
      </c>
      <c r="P77" s="48" t="s">
        <v>102</v>
      </c>
      <c r="Q77" s="48" t="s">
        <v>102</v>
      </c>
      <c r="R77" s="43" t="s">
        <v>44</v>
      </c>
      <c r="S77" t="s">
        <v>103</v>
      </c>
    </row>
    <row r="78" spans="1:20" x14ac:dyDescent="0.25">
      <c r="A78" s="2">
        <v>7008</v>
      </c>
      <c r="B78" s="2" t="s">
        <v>98</v>
      </c>
      <c r="C78" s="26" t="s">
        <v>96</v>
      </c>
      <c r="D78" s="3">
        <v>1</v>
      </c>
      <c r="E78" s="4">
        <v>1000</v>
      </c>
      <c r="F78" s="17" t="s">
        <v>72</v>
      </c>
      <c r="G78" s="17" t="s">
        <v>72</v>
      </c>
      <c r="H78" s="43">
        <v>1</v>
      </c>
      <c r="I78" s="43">
        <v>1000</v>
      </c>
      <c r="J78" s="43">
        <v>5</v>
      </c>
      <c r="L78" s="19" t="s">
        <v>95</v>
      </c>
      <c r="M78" s="19" t="s">
        <v>24</v>
      </c>
      <c r="N78" s="18" t="s">
        <v>72</v>
      </c>
      <c r="O78" s="18" t="s">
        <v>72</v>
      </c>
      <c r="P78" s="48" t="s">
        <v>102</v>
      </c>
      <c r="Q78" s="48" t="s">
        <v>102</v>
      </c>
      <c r="R78" s="43" t="s">
        <v>44</v>
      </c>
    </row>
    <row r="79" spans="1:20" x14ac:dyDescent="0.25">
      <c r="A79" s="2">
        <v>9388</v>
      </c>
      <c r="B79" s="2" t="s">
        <v>99</v>
      </c>
      <c r="C79" s="26" t="s">
        <v>88</v>
      </c>
      <c r="D79" s="3">
        <v>1</v>
      </c>
      <c r="E79" s="4">
        <v>1000</v>
      </c>
      <c r="F79" s="17" t="s">
        <v>72</v>
      </c>
      <c r="G79" s="17" t="s">
        <v>72</v>
      </c>
      <c r="H79" s="43">
        <v>1</v>
      </c>
      <c r="I79" s="43">
        <v>1000</v>
      </c>
      <c r="J79" s="43">
        <v>1</v>
      </c>
      <c r="L79" s="19" t="s">
        <v>95</v>
      </c>
      <c r="M79" s="19" t="s">
        <v>24</v>
      </c>
      <c r="N79" s="18" t="s">
        <v>72</v>
      </c>
      <c r="O79" s="18" t="s">
        <v>72</v>
      </c>
      <c r="P79" s="48" t="s">
        <v>102</v>
      </c>
      <c r="Q79" s="48" t="s">
        <v>102</v>
      </c>
      <c r="R79" s="43" t="s">
        <v>44</v>
      </c>
    </row>
    <row r="80" spans="1:20" x14ac:dyDescent="0.25">
      <c r="A80" s="2">
        <v>9389</v>
      </c>
      <c r="B80" s="2" t="s">
        <v>100</v>
      </c>
      <c r="C80" s="26" t="s">
        <v>89</v>
      </c>
      <c r="D80" s="3">
        <v>1</v>
      </c>
      <c r="E80" s="4">
        <v>1000</v>
      </c>
      <c r="F80" s="17" t="s">
        <v>72</v>
      </c>
      <c r="G80" s="17" t="s">
        <v>72</v>
      </c>
      <c r="H80" s="43">
        <v>1</v>
      </c>
      <c r="I80" s="43">
        <v>1000</v>
      </c>
      <c r="J80" s="43">
        <v>1</v>
      </c>
      <c r="L80" s="19" t="s">
        <v>95</v>
      </c>
      <c r="M80" s="19" t="s">
        <v>24</v>
      </c>
      <c r="N80" s="18" t="s">
        <v>72</v>
      </c>
      <c r="O80" s="18" t="s">
        <v>72</v>
      </c>
      <c r="P80" s="48" t="s">
        <v>102</v>
      </c>
      <c r="Q80" s="48" t="s">
        <v>102</v>
      </c>
      <c r="R80" s="43" t="s">
        <v>44</v>
      </c>
    </row>
    <row r="81" spans="1:19" x14ac:dyDescent="0.25">
      <c r="A81" s="2">
        <v>9300</v>
      </c>
      <c r="B81" s="2" t="s">
        <v>32</v>
      </c>
      <c r="C81" s="2" t="s">
        <v>126</v>
      </c>
      <c r="D81" s="4">
        <v>1</v>
      </c>
      <c r="E81" s="4">
        <f>1000/D81</f>
        <v>1000</v>
      </c>
      <c r="F81" s="17" t="s">
        <v>72</v>
      </c>
      <c r="G81" s="17" t="s">
        <v>72</v>
      </c>
      <c r="H81" s="43">
        <v>1</v>
      </c>
      <c r="I81" s="45">
        <v>1000</v>
      </c>
      <c r="J81" s="43">
        <v>1</v>
      </c>
      <c r="L81" s="19" t="s">
        <v>95</v>
      </c>
      <c r="M81" s="19" t="s">
        <v>24</v>
      </c>
      <c r="N81" s="18" t="s">
        <v>72</v>
      </c>
      <c r="O81" s="18" t="s">
        <v>72</v>
      </c>
      <c r="P81" s="48" t="s">
        <v>0</v>
      </c>
      <c r="Q81" s="48" t="s">
        <v>43</v>
      </c>
      <c r="R81" s="43" t="s">
        <v>44</v>
      </c>
    </row>
    <row r="82" spans="1:19" x14ac:dyDescent="0.25">
      <c r="A82" s="2">
        <v>0</v>
      </c>
      <c r="B82" s="2" t="s">
        <v>74</v>
      </c>
      <c r="C82" s="2" t="s">
        <v>75</v>
      </c>
      <c r="D82" s="4" t="s">
        <v>72</v>
      </c>
      <c r="E82" s="4" t="s">
        <v>72</v>
      </c>
      <c r="F82" s="17" t="s">
        <v>72</v>
      </c>
      <c r="G82" s="17" t="s">
        <v>72</v>
      </c>
      <c r="H82" s="43" t="s">
        <v>72</v>
      </c>
      <c r="I82" s="43" t="s">
        <v>72</v>
      </c>
      <c r="J82" s="43" t="s">
        <v>72</v>
      </c>
      <c r="L82" s="19" t="s">
        <v>95</v>
      </c>
      <c r="M82" s="19" t="s">
        <v>24</v>
      </c>
      <c r="N82" s="17" t="s">
        <v>72</v>
      </c>
      <c r="O82" s="17" t="s">
        <v>72</v>
      </c>
      <c r="P82" s="43" t="s">
        <v>72</v>
      </c>
      <c r="Q82" s="43" t="s">
        <v>72</v>
      </c>
      <c r="R82" s="43" t="s">
        <v>72</v>
      </c>
    </row>
    <row r="83" spans="1:19" x14ac:dyDescent="0.25">
      <c r="A83" s="2" t="s">
        <v>2</v>
      </c>
    </row>
    <row r="84" spans="1:19" x14ac:dyDescent="0.25">
      <c r="A84" s="10">
        <f>IF(LEN(C84)=17,LEFT(C84,4)+(B84-1)/(DATE(LEFT(C84,4)+1,1,1)-DATE(LEFT(C84,4),1,1)),"BAD DATE FORMAT")</f>
        <v>2021.4958923135464</v>
      </c>
      <c r="B84" s="11">
        <f>DATE(LEFT(C84,4),RIGHT(LEFT(C84,7),2),RIGHT(LEFT(C84,10),2))-DATE(LEFT(C84,4),1,1)+1+(RIGHT(LEFT(C84,14),2)*60+RIGHT(C84,2))/1440</f>
        <v>182.00069444444443</v>
      </c>
      <c r="C84" t="s">
        <v>127</v>
      </c>
      <c r="L84" s="19"/>
      <c r="M84" s="19"/>
      <c r="N84" s="18"/>
      <c r="O84" s="18"/>
      <c r="P84" s="48"/>
      <c r="Q84" s="48"/>
      <c r="S84" t="s">
        <v>108</v>
      </c>
    </row>
    <row r="85" spans="1:19" x14ac:dyDescent="0.25">
      <c r="A85" s="35">
        <v>1000</v>
      </c>
      <c r="B85" s="36" t="s">
        <v>131</v>
      </c>
      <c r="C85" s="25" t="s">
        <v>130</v>
      </c>
      <c r="D85" s="37">
        <v>1</v>
      </c>
      <c r="E85" s="25">
        <f>1000/D85</f>
        <v>1000</v>
      </c>
      <c r="F85" s="25" t="s">
        <v>72</v>
      </c>
      <c r="G85" s="25" t="s">
        <v>72</v>
      </c>
      <c r="H85" s="38">
        <f>1000/I85</f>
        <v>60.200346753997302</v>
      </c>
      <c r="I85" s="24">
        <v>16.6112</v>
      </c>
      <c r="J85" s="24">
        <v>0.76827735566056199</v>
      </c>
      <c r="L85" s="19" t="s">
        <v>146</v>
      </c>
      <c r="M85" s="19" t="s">
        <v>24</v>
      </c>
      <c r="N85" s="18" t="s">
        <v>72</v>
      </c>
      <c r="O85" s="18" t="s">
        <v>72</v>
      </c>
      <c r="P85" s="48" t="s">
        <v>0</v>
      </c>
      <c r="Q85" s="48" t="s">
        <v>147</v>
      </c>
      <c r="R85" s="48" t="s">
        <v>147</v>
      </c>
      <c r="S85" s="28" t="s">
        <v>149</v>
      </c>
    </row>
    <row r="86" spans="1:19" x14ac:dyDescent="0.25">
      <c r="A86" s="16">
        <v>2010</v>
      </c>
      <c r="B86" s="2" t="s">
        <v>36</v>
      </c>
      <c r="C86" s="2" t="s">
        <v>121</v>
      </c>
      <c r="D86" s="3">
        <v>1</v>
      </c>
      <c r="E86" s="4">
        <f>1000/D86</f>
        <v>1000</v>
      </c>
      <c r="F86" s="17" t="s">
        <v>72</v>
      </c>
      <c r="G86" s="17" t="s">
        <v>72</v>
      </c>
      <c r="H86" s="43">
        <f>1000/I86</f>
        <v>119.39443144371747</v>
      </c>
      <c r="I86" s="43">
        <v>8.3756000000000004</v>
      </c>
      <c r="J86" s="43">
        <v>2.03531169831321</v>
      </c>
      <c r="L86" s="19" t="s">
        <v>146</v>
      </c>
      <c r="M86" s="19" t="s">
        <v>24</v>
      </c>
      <c r="N86" s="18" t="s">
        <v>72</v>
      </c>
      <c r="O86" s="18" t="s">
        <v>72</v>
      </c>
      <c r="P86" s="48" t="s">
        <v>0</v>
      </c>
      <c r="Q86" s="48" t="s">
        <v>111</v>
      </c>
      <c r="R86" s="48" t="s">
        <v>111</v>
      </c>
      <c r="S86" s="28"/>
    </row>
    <row r="87" spans="1:19" x14ac:dyDescent="0.25">
      <c r="A87" s="35">
        <v>3000</v>
      </c>
      <c r="B87" s="36" t="s">
        <v>128</v>
      </c>
      <c r="C87" s="24" t="s">
        <v>129</v>
      </c>
      <c r="D87" s="37">
        <v>1</v>
      </c>
      <c r="E87" s="25">
        <f>1000/D87</f>
        <v>1000</v>
      </c>
      <c r="F87" s="25" t="s">
        <v>72</v>
      </c>
      <c r="G87" s="25" t="s">
        <v>72</v>
      </c>
      <c r="H87" s="39">
        <f>1000/I87</f>
        <v>75.155760313249203</v>
      </c>
      <c r="I87" s="24">
        <v>13.3057</v>
      </c>
      <c r="J87" s="24">
        <v>0.83122061412608705</v>
      </c>
      <c r="L87" s="19" t="s">
        <v>146</v>
      </c>
      <c r="M87" s="19" t="s">
        <v>24</v>
      </c>
      <c r="N87" s="18" t="s">
        <v>72</v>
      </c>
      <c r="O87" s="18" t="s">
        <v>72</v>
      </c>
      <c r="P87" s="48" t="s">
        <v>0</v>
      </c>
      <c r="Q87" s="48" t="s">
        <v>148</v>
      </c>
      <c r="R87" s="48" t="s">
        <v>148</v>
      </c>
      <c r="S87" s="28" t="s">
        <v>149</v>
      </c>
    </row>
    <row r="88" spans="1:19" x14ac:dyDescent="0.25">
      <c r="A88" s="35">
        <v>0</v>
      </c>
      <c r="B88" s="36" t="s">
        <v>132</v>
      </c>
      <c r="C88" s="25" t="s">
        <v>135</v>
      </c>
      <c r="D88" s="37" t="s">
        <v>72</v>
      </c>
      <c r="E88" s="37" t="s">
        <v>72</v>
      </c>
      <c r="F88" s="25" t="s">
        <v>72</v>
      </c>
      <c r="G88" s="25" t="s">
        <v>72</v>
      </c>
      <c r="H88" s="25" t="s">
        <v>72</v>
      </c>
      <c r="I88" s="25" t="s">
        <v>72</v>
      </c>
      <c r="J88" s="25" t="s">
        <v>72</v>
      </c>
      <c r="L88" s="19" t="s">
        <v>146</v>
      </c>
      <c r="M88" s="19" t="s">
        <v>24</v>
      </c>
      <c r="N88" s="18" t="s">
        <v>72</v>
      </c>
      <c r="O88" s="18" t="s">
        <v>72</v>
      </c>
      <c r="P88" s="43" t="s">
        <v>72</v>
      </c>
      <c r="Q88" s="43" t="s">
        <v>72</v>
      </c>
      <c r="R88" s="43" t="s">
        <v>72</v>
      </c>
    </row>
    <row r="89" spans="1:19" x14ac:dyDescent="0.25">
      <c r="A89" s="16">
        <v>0</v>
      </c>
      <c r="B89" s="2" t="s">
        <v>133</v>
      </c>
      <c r="C89" s="2" t="s">
        <v>136</v>
      </c>
      <c r="D89" s="3" t="s">
        <v>72</v>
      </c>
      <c r="E89" s="3" t="s">
        <v>72</v>
      </c>
      <c r="F89" s="17" t="s">
        <v>72</v>
      </c>
      <c r="G89" s="17" t="s">
        <v>72</v>
      </c>
      <c r="H89" s="43" t="s">
        <v>72</v>
      </c>
      <c r="I89" s="43" t="s">
        <v>72</v>
      </c>
      <c r="J89" s="43" t="s">
        <v>72</v>
      </c>
      <c r="L89" s="19" t="s">
        <v>146</v>
      </c>
      <c r="M89" s="19" t="s">
        <v>24</v>
      </c>
      <c r="N89" s="18" t="s">
        <v>72</v>
      </c>
      <c r="O89" s="18" t="s">
        <v>72</v>
      </c>
      <c r="P89" s="43" t="s">
        <v>72</v>
      </c>
      <c r="Q89" s="43" t="s">
        <v>72</v>
      </c>
      <c r="R89" s="43" t="s">
        <v>72</v>
      </c>
    </row>
    <row r="90" spans="1:19" x14ac:dyDescent="0.25">
      <c r="A90" s="35">
        <v>0</v>
      </c>
      <c r="B90" s="36" t="s">
        <v>134</v>
      </c>
      <c r="C90" s="24" t="s">
        <v>137</v>
      </c>
      <c r="D90" s="37" t="s">
        <v>72</v>
      </c>
      <c r="E90" s="37" t="s">
        <v>72</v>
      </c>
      <c r="F90" s="25" t="s">
        <v>72</v>
      </c>
      <c r="G90" s="25" t="s">
        <v>72</v>
      </c>
      <c r="H90" s="25" t="s">
        <v>72</v>
      </c>
      <c r="I90" s="25" t="s">
        <v>72</v>
      </c>
      <c r="J90" s="25" t="s">
        <v>72</v>
      </c>
      <c r="L90" s="19" t="s">
        <v>146</v>
      </c>
      <c r="M90" s="19" t="s">
        <v>24</v>
      </c>
      <c r="N90" s="18" t="s">
        <v>72</v>
      </c>
      <c r="O90" s="18" t="s">
        <v>72</v>
      </c>
      <c r="P90" s="43" t="s">
        <v>72</v>
      </c>
      <c r="Q90" s="43" t="s">
        <v>72</v>
      </c>
      <c r="R90" s="43" t="s">
        <v>72</v>
      </c>
    </row>
    <row r="91" spans="1:19" x14ac:dyDescent="0.25">
      <c r="A91" s="36" t="s">
        <v>78</v>
      </c>
      <c r="B91" s="36" t="s">
        <v>138</v>
      </c>
      <c r="C91" s="25" t="s">
        <v>140</v>
      </c>
      <c r="D91" s="37">
        <v>1</v>
      </c>
      <c r="E91" s="25">
        <f t="shared" ref="E91:E93" si="2">1000/D91</f>
        <v>1000</v>
      </c>
      <c r="F91" s="25" t="s">
        <v>72</v>
      </c>
      <c r="G91" s="25" t="s">
        <v>72</v>
      </c>
      <c r="H91" s="38">
        <f>1000/I91</f>
        <v>60.200346753997302</v>
      </c>
      <c r="I91" s="24">
        <v>16.6112</v>
      </c>
      <c r="J91" s="24">
        <v>0.76827735566056199</v>
      </c>
      <c r="L91" s="19" t="s">
        <v>146</v>
      </c>
      <c r="M91" s="19" t="s">
        <v>24</v>
      </c>
      <c r="N91" s="18" t="s">
        <v>72</v>
      </c>
      <c r="O91" s="18" t="s">
        <v>72</v>
      </c>
      <c r="P91" s="48" t="s">
        <v>0</v>
      </c>
      <c r="Q91" s="48" t="s">
        <v>147</v>
      </c>
      <c r="R91" s="48" t="s">
        <v>147</v>
      </c>
      <c r="S91" s="28"/>
    </row>
    <row r="92" spans="1:19" x14ac:dyDescent="0.25">
      <c r="A92" s="10" t="s">
        <v>79</v>
      </c>
      <c r="B92" s="2" t="s">
        <v>91</v>
      </c>
      <c r="C92" s="2" t="s">
        <v>124</v>
      </c>
      <c r="D92" s="3">
        <v>1</v>
      </c>
      <c r="E92" s="4">
        <f t="shared" si="2"/>
        <v>1000</v>
      </c>
      <c r="F92" s="17" t="s">
        <v>72</v>
      </c>
      <c r="G92" s="17" t="s">
        <v>72</v>
      </c>
      <c r="H92" s="43">
        <f>1000/I92</f>
        <v>119.39443144371747</v>
      </c>
      <c r="I92" s="43">
        <v>8.3756000000000004</v>
      </c>
      <c r="J92" s="43">
        <v>2.03531169831321</v>
      </c>
      <c r="L92" s="19" t="s">
        <v>146</v>
      </c>
      <c r="M92" s="19" t="s">
        <v>24</v>
      </c>
      <c r="N92" s="18" t="s">
        <v>72</v>
      </c>
      <c r="O92" s="18" t="s">
        <v>72</v>
      </c>
      <c r="P92" s="48" t="s">
        <v>0</v>
      </c>
      <c r="Q92" s="48" t="s">
        <v>111</v>
      </c>
      <c r="R92" s="48" t="s">
        <v>111</v>
      </c>
      <c r="S92" s="28"/>
    </row>
    <row r="93" spans="1:19" x14ac:dyDescent="0.25">
      <c r="A93" s="36" t="s">
        <v>80</v>
      </c>
      <c r="B93" s="36" t="s">
        <v>139</v>
      </c>
      <c r="C93" s="24" t="s">
        <v>141</v>
      </c>
      <c r="D93" s="37">
        <v>1</v>
      </c>
      <c r="E93" s="25">
        <f t="shared" si="2"/>
        <v>1000</v>
      </c>
      <c r="F93" s="25" t="s">
        <v>72</v>
      </c>
      <c r="G93" s="25" t="s">
        <v>72</v>
      </c>
      <c r="H93" s="39">
        <f>1000/I93</f>
        <v>75.155760313249203</v>
      </c>
      <c r="I93" s="24">
        <v>13.3057</v>
      </c>
      <c r="J93" s="24">
        <v>0.83122061412608705</v>
      </c>
      <c r="L93" s="19" t="s">
        <v>146</v>
      </c>
      <c r="M93" s="19" t="s">
        <v>24</v>
      </c>
      <c r="N93" s="18" t="s">
        <v>72</v>
      </c>
      <c r="O93" s="18" t="s">
        <v>72</v>
      </c>
      <c r="P93" s="48" t="s">
        <v>0</v>
      </c>
      <c r="Q93" s="48" t="s">
        <v>148</v>
      </c>
      <c r="R93" s="48" t="s">
        <v>148</v>
      </c>
      <c r="S93" s="28"/>
    </row>
    <row r="94" spans="1:19" x14ac:dyDescent="0.25">
      <c r="A94" s="2">
        <v>9300</v>
      </c>
      <c r="B94" s="2" t="s">
        <v>32</v>
      </c>
      <c r="C94" s="2" t="s">
        <v>126</v>
      </c>
      <c r="D94" s="4">
        <v>1</v>
      </c>
      <c r="E94" s="4">
        <f>1000/D94</f>
        <v>1000</v>
      </c>
      <c r="F94" s="17" t="s">
        <v>72</v>
      </c>
      <c r="G94" s="17" t="s">
        <v>72</v>
      </c>
      <c r="H94" s="43">
        <v>1</v>
      </c>
      <c r="I94" s="45">
        <v>1000</v>
      </c>
      <c r="J94" s="43">
        <v>1</v>
      </c>
      <c r="L94" s="19" t="s">
        <v>146</v>
      </c>
      <c r="M94" s="19" t="s">
        <v>24</v>
      </c>
      <c r="N94" s="18" t="s">
        <v>72</v>
      </c>
      <c r="O94" s="18" t="s">
        <v>72</v>
      </c>
      <c r="P94" s="48" t="s">
        <v>0</v>
      </c>
      <c r="Q94" s="48" t="s">
        <v>43</v>
      </c>
      <c r="R94" s="43" t="s">
        <v>44</v>
      </c>
    </row>
    <row r="95" spans="1:19" x14ac:dyDescent="0.25">
      <c r="A95" s="25">
        <v>9380</v>
      </c>
      <c r="B95" s="36" t="s">
        <v>142</v>
      </c>
      <c r="C95" s="25" t="s">
        <v>144</v>
      </c>
      <c r="D95" s="37">
        <v>1</v>
      </c>
      <c r="E95" s="25">
        <v>1000</v>
      </c>
      <c r="F95" s="25" t="s">
        <v>72</v>
      </c>
      <c r="G95" s="25" t="s">
        <v>72</v>
      </c>
      <c r="H95" s="25">
        <v>1</v>
      </c>
      <c r="I95" s="25">
        <v>1000</v>
      </c>
      <c r="J95" s="25">
        <v>5</v>
      </c>
      <c r="L95" s="19" t="s">
        <v>146</v>
      </c>
      <c r="M95" s="19" t="s">
        <v>24</v>
      </c>
      <c r="N95" s="18" t="s">
        <v>72</v>
      </c>
      <c r="O95" s="18" t="s">
        <v>72</v>
      </c>
      <c r="P95" s="48" t="s">
        <v>102</v>
      </c>
      <c r="Q95" s="48" t="s">
        <v>102</v>
      </c>
      <c r="R95" s="43" t="s">
        <v>44</v>
      </c>
    </row>
    <row r="96" spans="1:19" x14ac:dyDescent="0.25">
      <c r="A96" s="25">
        <v>9381</v>
      </c>
      <c r="B96" s="36" t="s">
        <v>143</v>
      </c>
      <c r="C96" s="24" t="s">
        <v>145</v>
      </c>
      <c r="D96" s="37">
        <v>1</v>
      </c>
      <c r="E96" s="25">
        <v>1000</v>
      </c>
      <c r="F96" s="25" t="s">
        <v>72</v>
      </c>
      <c r="G96" s="25" t="s">
        <v>72</v>
      </c>
      <c r="H96" s="25">
        <v>1</v>
      </c>
      <c r="I96" s="25">
        <v>1000</v>
      </c>
      <c r="J96" s="25">
        <v>1</v>
      </c>
      <c r="L96" s="19" t="s">
        <v>146</v>
      </c>
      <c r="M96" s="19" t="s">
        <v>24</v>
      </c>
      <c r="N96" s="18" t="s">
        <v>72</v>
      </c>
      <c r="O96" s="18" t="s">
        <v>72</v>
      </c>
      <c r="P96" s="48" t="s">
        <v>102</v>
      </c>
      <c r="Q96" s="48" t="s">
        <v>102</v>
      </c>
      <c r="R96" s="43" t="s">
        <v>44</v>
      </c>
    </row>
    <row r="97" spans="1:19" x14ac:dyDescent="0.25">
      <c r="A97" s="2">
        <v>0</v>
      </c>
      <c r="B97" s="2" t="s">
        <v>74</v>
      </c>
      <c r="C97" s="2" t="s">
        <v>75</v>
      </c>
      <c r="D97" s="4" t="s">
        <v>72</v>
      </c>
      <c r="E97" s="4" t="s">
        <v>72</v>
      </c>
      <c r="F97" s="17" t="s">
        <v>72</v>
      </c>
      <c r="G97" s="17" t="s">
        <v>72</v>
      </c>
      <c r="H97" s="43" t="s">
        <v>72</v>
      </c>
      <c r="I97" s="43" t="s">
        <v>72</v>
      </c>
      <c r="J97" s="43" t="s">
        <v>72</v>
      </c>
      <c r="L97" s="19" t="s">
        <v>146</v>
      </c>
      <c r="M97" s="19" t="s">
        <v>24</v>
      </c>
      <c r="N97" s="17" t="s">
        <v>72</v>
      </c>
      <c r="O97" s="17" t="s">
        <v>72</v>
      </c>
      <c r="P97" s="43" t="s">
        <v>72</v>
      </c>
      <c r="Q97" s="43" t="s">
        <v>72</v>
      </c>
      <c r="R97" s="43" t="s">
        <v>72</v>
      </c>
    </row>
    <row r="98" spans="1:19" x14ac:dyDescent="0.25">
      <c r="A98" s="2" t="s">
        <v>2</v>
      </c>
    </row>
    <row r="99" spans="1:19" x14ac:dyDescent="0.25">
      <c r="A99" s="10">
        <f>IF(LEN(C99)=17,LEFT(C99,4)+(B99-1)/(DATE(LEFT(C99,4)+1,1,1)-DATE(LEFT(C99,4),1,1)),"BAD DATE FORMAT")</f>
        <v>2022.5466628614915</v>
      </c>
      <c r="B99" s="11">
        <f>DATE(LEFT(C99,4),RIGHT(LEFT(C99,7),2),RIGHT(LEFT(C99,10),2))-DATE(LEFT(C99,4),1,1)+1+(RIGHT(LEFT(C99,14),2)*60+RIGHT(C99,2))/1440</f>
        <v>200.53194444444443</v>
      </c>
      <c r="C99" t="s">
        <v>151</v>
      </c>
      <c r="L99" s="19"/>
      <c r="M99" s="19"/>
      <c r="N99" s="18"/>
      <c r="O99" s="18"/>
      <c r="P99" s="48"/>
      <c r="Q99" s="48"/>
    </row>
    <row r="100" spans="1:19" x14ac:dyDescent="0.25">
      <c r="A100" s="16">
        <v>1000</v>
      </c>
      <c r="B100" s="10" t="s">
        <v>131</v>
      </c>
      <c r="C100" s="2" t="s">
        <v>130</v>
      </c>
      <c r="D100" s="3">
        <v>1</v>
      </c>
      <c r="E100" s="4">
        <f>1000/D100</f>
        <v>1000</v>
      </c>
      <c r="F100" s="17" t="s">
        <v>72</v>
      </c>
      <c r="G100" s="17" t="s">
        <v>72</v>
      </c>
      <c r="H100" s="38">
        <f>1000/I100</f>
        <v>60.151461379754217</v>
      </c>
      <c r="I100" s="40">
        <v>16.624700000000001</v>
      </c>
      <c r="J100" s="24">
        <v>1.16405016530411</v>
      </c>
      <c r="L100" s="19" t="s">
        <v>150</v>
      </c>
      <c r="M100" s="19" t="s">
        <v>24</v>
      </c>
      <c r="N100" s="18" t="s">
        <v>72</v>
      </c>
      <c r="O100" s="18" t="s">
        <v>72</v>
      </c>
      <c r="P100" s="48" t="s">
        <v>0</v>
      </c>
      <c r="Q100" s="48" t="s">
        <v>152</v>
      </c>
      <c r="R100" s="48" t="s">
        <v>152</v>
      </c>
      <c r="S100" s="28"/>
    </row>
    <row r="101" spans="1:19" x14ac:dyDescent="0.25">
      <c r="A101" s="16">
        <v>2010</v>
      </c>
      <c r="B101" s="2" t="s">
        <v>36</v>
      </c>
      <c r="C101" s="2" t="s">
        <v>121</v>
      </c>
      <c r="D101" s="3">
        <v>1</v>
      </c>
      <c r="E101" s="4">
        <f>1000/D101</f>
        <v>1000</v>
      </c>
      <c r="F101" s="17" t="s">
        <v>72</v>
      </c>
      <c r="G101" s="17" t="s">
        <v>72</v>
      </c>
      <c r="H101" s="25">
        <f>1000/I101</f>
        <v>119.40155938436557</v>
      </c>
      <c r="I101" s="41">
        <v>8.3750999999999998</v>
      </c>
      <c r="J101" s="25">
        <v>1.8352099609999999</v>
      </c>
      <c r="L101" s="19" t="s">
        <v>150</v>
      </c>
      <c r="M101" s="19" t="s">
        <v>24</v>
      </c>
      <c r="N101" s="18" t="s">
        <v>72</v>
      </c>
      <c r="O101" s="18" t="s">
        <v>72</v>
      </c>
      <c r="P101" s="48" t="s">
        <v>0</v>
      </c>
      <c r="Q101" s="48" t="s">
        <v>153</v>
      </c>
      <c r="R101" s="48" t="s">
        <v>153</v>
      </c>
      <c r="S101" s="28"/>
    </row>
    <row r="102" spans="1:19" x14ac:dyDescent="0.25">
      <c r="A102" s="16">
        <v>3000</v>
      </c>
      <c r="B102" s="10" t="s">
        <v>128</v>
      </c>
      <c r="C102" t="s">
        <v>129</v>
      </c>
      <c r="D102" s="3">
        <v>1</v>
      </c>
      <c r="E102" s="4">
        <f>1000/D102</f>
        <v>1000</v>
      </c>
      <c r="F102" s="17" t="s">
        <v>72</v>
      </c>
      <c r="G102" s="17" t="s">
        <v>72</v>
      </c>
      <c r="H102" s="39">
        <f>1000/I102</f>
        <v>75.088604553372974</v>
      </c>
      <c r="I102" s="40">
        <v>13.317600000000001</v>
      </c>
      <c r="J102" s="24">
        <v>1.2169603471391199</v>
      </c>
      <c r="L102" s="19" t="s">
        <v>150</v>
      </c>
      <c r="M102" s="19" t="s">
        <v>24</v>
      </c>
      <c r="N102" s="18" t="s">
        <v>72</v>
      </c>
      <c r="O102" s="18" t="s">
        <v>72</v>
      </c>
      <c r="P102" s="48" t="s">
        <v>0</v>
      </c>
      <c r="Q102" s="48" t="s">
        <v>154</v>
      </c>
      <c r="R102" s="48" t="s">
        <v>154</v>
      </c>
      <c r="S102" s="28"/>
    </row>
    <row r="103" spans="1:19" x14ac:dyDescent="0.25">
      <c r="A103" s="16">
        <v>0</v>
      </c>
      <c r="B103" s="10" t="s">
        <v>132</v>
      </c>
      <c r="C103" s="2" t="s">
        <v>135</v>
      </c>
      <c r="D103" s="3" t="s">
        <v>72</v>
      </c>
      <c r="E103" s="4" t="s">
        <v>72</v>
      </c>
      <c r="F103" s="17" t="s">
        <v>72</v>
      </c>
      <c r="G103" s="17" t="s">
        <v>72</v>
      </c>
      <c r="H103" s="43" t="s">
        <v>72</v>
      </c>
      <c r="I103" s="43" t="s">
        <v>72</v>
      </c>
      <c r="J103" s="43" t="s">
        <v>72</v>
      </c>
      <c r="L103" s="19" t="s">
        <v>150</v>
      </c>
      <c r="M103" s="19" t="s">
        <v>24</v>
      </c>
      <c r="N103" s="18" t="s">
        <v>72</v>
      </c>
      <c r="O103" s="18" t="s">
        <v>72</v>
      </c>
      <c r="P103" s="43" t="s">
        <v>72</v>
      </c>
      <c r="Q103" s="43" t="s">
        <v>72</v>
      </c>
      <c r="R103" s="43" t="s">
        <v>72</v>
      </c>
    </row>
    <row r="104" spans="1:19" x14ac:dyDescent="0.25">
      <c r="A104" s="16">
        <v>0</v>
      </c>
      <c r="B104" s="2" t="s">
        <v>133</v>
      </c>
      <c r="C104" s="2" t="s">
        <v>136</v>
      </c>
      <c r="D104" s="3" t="s">
        <v>72</v>
      </c>
      <c r="E104" s="4" t="s">
        <v>72</v>
      </c>
      <c r="F104" s="17" t="s">
        <v>72</v>
      </c>
      <c r="G104" s="17" t="s">
        <v>72</v>
      </c>
      <c r="H104" s="43" t="s">
        <v>72</v>
      </c>
      <c r="I104" s="43" t="s">
        <v>72</v>
      </c>
      <c r="J104" s="43" t="s">
        <v>72</v>
      </c>
      <c r="L104" s="19" t="s">
        <v>150</v>
      </c>
      <c r="M104" s="19" t="s">
        <v>24</v>
      </c>
      <c r="N104" s="18" t="s">
        <v>72</v>
      </c>
      <c r="O104" s="18" t="s">
        <v>72</v>
      </c>
      <c r="P104" s="43" t="s">
        <v>72</v>
      </c>
      <c r="Q104" s="43" t="s">
        <v>72</v>
      </c>
      <c r="R104" s="43" t="s">
        <v>72</v>
      </c>
    </row>
    <row r="105" spans="1:19" x14ac:dyDescent="0.25">
      <c r="A105" s="16">
        <v>0</v>
      </c>
      <c r="B105" s="10" t="s">
        <v>134</v>
      </c>
      <c r="C105" t="s">
        <v>137</v>
      </c>
      <c r="D105" s="3" t="s">
        <v>72</v>
      </c>
      <c r="E105" s="4" t="s">
        <v>72</v>
      </c>
      <c r="F105" s="17" t="s">
        <v>72</v>
      </c>
      <c r="G105" s="17" t="s">
        <v>72</v>
      </c>
      <c r="H105" s="43" t="s">
        <v>72</v>
      </c>
      <c r="I105" s="43" t="s">
        <v>72</v>
      </c>
      <c r="J105" s="43" t="s">
        <v>72</v>
      </c>
      <c r="L105" s="19" t="s">
        <v>150</v>
      </c>
      <c r="M105" s="19" t="s">
        <v>24</v>
      </c>
      <c r="N105" s="18" t="s">
        <v>72</v>
      </c>
      <c r="O105" s="18" t="s">
        <v>72</v>
      </c>
      <c r="P105" s="43" t="s">
        <v>72</v>
      </c>
      <c r="Q105" s="43" t="s">
        <v>72</v>
      </c>
      <c r="R105" s="43" t="s">
        <v>72</v>
      </c>
    </row>
    <row r="106" spans="1:19" x14ac:dyDescent="0.25">
      <c r="A106" s="10" t="s">
        <v>78</v>
      </c>
      <c r="B106" s="10" t="s">
        <v>138</v>
      </c>
      <c r="C106" s="2" t="s">
        <v>140</v>
      </c>
      <c r="D106" s="3">
        <v>1</v>
      </c>
      <c r="E106" s="4">
        <f t="shared" ref="E106:E108" si="3">1000/D106</f>
        <v>1000</v>
      </c>
      <c r="F106" s="17" t="s">
        <v>72</v>
      </c>
      <c r="G106" s="17" t="s">
        <v>72</v>
      </c>
      <c r="H106" s="38">
        <f>1000/I106</f>
        <v>60.151461379754217</v>
      </c>
      <c r="I106" s="40">
        <v>16.624700000000001</v>
      </c>
      <c r="J106" s="24">
        <v>1.16405016530411</v>
      </c>
      <c r="L106" s="19" t="s">
        <v>150</v>
      </c>
      <c r="M106" s="19" t="s">
        <v>24</v>
      </c>
      <c r="N106" s="18" t="s">
        <v>72</v>
      </c>
      <c r="O106" s="18" t="s">
        <v>72</v>
      </c>
      <c r="P106" s="48" t="s">
        <v>0</v>
      </c>
      <c r="Q106" s="48" t="s">
        <v>152</v>
      </c>
      <c r="R106" s="48" t="s">
        <v>152</v>
      </c>
      <c r="S106" s="28"/>
    </row>
    <row r="107" spans="1:19" x14ac:dyDescent="0.25">
      <c r="A107" s="10" t="s">
        <v>79</v>
      </c>
      <c r="B107" s="2" t="s">
        <v>91</v>
      </c>
      <c r="C107" s="2" t="s">
        <v>124</v>
      </c>
      <c r="D107" s="3">
        <v>1</v>
      </c>
      <c r="E107" s="4">
        <f t="shared" si="3"/>
        <v>1000</v>
      </c>
      <c r="F107" s="17" t="s">
        <v>72</v>
      </c>
      <c r="G107" s="17" t="s">
        <v>72</v>
      </c>
      <c r="H107" s="25">
        <f>1000/I107</f>
        <v>119.40155938436557</v>
      </c>
      <c r="I107" s="41">
        <v>8.3750999999999998</v>
      </c>
      <c r="J107" s="25">
        <v>1.8352099609999999</v>
      </c>
      <c r="L107" s="19" t="s">
        <v>150</v>
      </c>
      <c r="M107" s="19" t="s">
        <v>24</v>
      </c>
      <c r="N107" s="18" t="s">
        <v>72</v>
      </c>
      <c r="O107" s="18" t="s">
        <v>72</v>
      </c>
      <c r="P107" s="48" t="s">
        <v>0</v>
      </c>
      <c r="Q107" s="48" t="s">
        <v>153</v>
      </c>
      <c r="R107" s="48" t="s">
        <v>153</v>
      </c>
      <c r="S107" s="28"/>
    </row>
    <row r="108" spans="1:19" x14ac:dyDescent="0.25">
      <c r="A108" s="10" t="s">
        <v>80</v>
      </c>
      <c r="B108" s="10" t="s">
        <v>139</v>
      </c>
      <c r="C108" t="s">
        <v>141</v>
      </c>
      <c r="D108" s="3">
        <v>1</v>
      </c>
      <c r="E108" s="4">
        <f t="shared" si="3"/>
        <v>1000</v>
      </c>
      <c r="F108" s="17" t="s">
        <v>72</v>
      </c>
      <c r="G108" s="17" t="s">
        <v>72</v>
      </c>
      <c r="H108" s="39">
        <f>1000/I108</f>
        <v>75.088604553372974</v>
      </c>
      <c r="I108" s="40">
        <v>13.317600000000001</v>
      </c>
      <c r="J108" s="24">
        <v>1.2169603471391199</v>
      </c>
      <c r="L108" s="19" t="s">
        <v>150</v>
      </c>
      <c r="M108" s="19" t="s">
        <v>24</v>
      </c>
      <c r="N108" s="18" t="s">
        <v>72</v>
      </c>
      <c r="O108" s="18" t="s">
        <v>72</v>
      </c>
      <c r="P108" s="48" t="s">
        <v>0</v>
      </c>
      <c r="Q108" s="48" t="s">
        <v>154</v>
      </c>
      <c r="R108" s="48" t="s">
        <v>154</v>
      </c>
      <c r="S108" s="28"/>
    </row>
    <row r="109" spans="1:19" x14ac:dyDescent="0.25">
      <c r="A109" s="2">
        <v>9300</v>
      </c>
      <c r="B109" s="2" t="s">
        <v>32</v>
      </c>
      <c r="C109" s="2" t="s">
        <v>126</v>
      </c>
      <c r="D109" s="3">
        <v>1</v>
      </c>
      <c r="E109" s="4">
        <f>1000/D109</f>
        <v>1000</v>
      </c>
      <c r="F109" s="17" t="s">
        <v>72</v>
      </c>
      <c r="G109" s="17" t="s">
        <v>72</v>
      </c>
      <c r="H109" s="43">
        <v>1</v>
      </c>
      <c r="I109" s="45">
        <v>1000</v>
      </c>
      <c r="J109" s="43">
        <v>1</v>
      </c>
      <c r="L109" s="19" t="s">
        <v>150</v>
      </c>
      <c r="M109" s="19" t="s">
        <v>24</v>
      </c>
      <c r="N109" s="18" t="s">
        <v>72</v>
      </c>
      <c r="O109" s="18" t="s">
        <v>72</v>
      </c>
      <c r="P109" s="48" t="s">
        <v>0</v>
      </c>
      <c r="Q109" s="48"/>
    </row>
    <row r="110" spans="1:19" x14ac:dyDescent="0.25">
      <c r="A110" s="2">
        <v>9380</v>
      </c>
      <c r="B110" s="10" t="s">
        <v>142</v>
      </c>
      <c r="C110" s="2" t="s">
        <v>144</v>
      </c>
      <c r="D110" s="3">
        <v>1</v>
      </c>
      <c r="E110" s="4">
        <v>1000</v>
      </c>
      <c r="F110" s="17" t="s">
        <v>72</v>
      </c>
      <c r="G110" s="17" t="s">
        <v>72</v>
      </c>
      <c r="H110" s="43">
        <v>1</v>
      </c>
      <c r="I110" s="45">
        <v>1000</v>
      </c>
      <c r="J110" s="43">
        <v>5</v>
      </c>
      <c r="L110" s="19" t="s">
        <v>150</v>
      </c>
      <c r="M110" s="19" t="s">
        <v>24</v>
      </c>
      <c r="N110" s="18" t="s">
        <v>72</v>
      </c>
      <c r="O110" s="18" t="s">
        <v>72</v>
      </c>
      <c r="P110" s="48"/>
      <c r="Q110" s="48"/>
    </row>
    <row r="111" spans="1:19" x14ac:dyDescent="0.25">
      <c r="A111" s="2">
        <v>9381</v>
      </c>
      <c r="B111" s="10" t="s">
        <v>143</v>
      </c>
      <c r="C111" t="s">
        <v>145</v>
      </c>
      <c r="D111" s="3">
        <v>1</v>
      </c>
      <c r="E111" s="4">
        <v>1000</v>
      </c>
      <c r="F111" s="17" t="s">
        <v>72</v>
      </c>
      <c r="G111" s="17" t="s">
        <v>72</v>
      </c>
      <c r="H111" s="43">
        <v>1</v>
      </c>
      <c r="I111" s="45">
        <v>1000</v>
      </c>
      <c r="J111" s="43">
        <v>1</v>
      </c>
      <c r="L111" s="19" t="s">
        <v>150</v>
      </c>
      <c r="M111" s="19" t="s">
        <v>24</v>
      </c>
      <c r="N111" s="18" t="s">
        <v>72</v>
      </c>
      <c r="O111" s="18" t="s">
        <v>72</v>
      </c>
      <c r="P111" s="48"/>
      <c r="Q111" s="48"/>
    </row>
    <row r="112" spans="1:19" x14ac:dyDescent="0.25">
      <c r="A112" s="2">
        <v>0</v>
      </c>
      <c r="B112" s="2" t="s">
        <v>74</v>
      </c>
      <c r="C112" s="2" t="s">
        <v>75</v>
      </c>
      <c r="D112" s="3" t="s">
        <v>72</v>
      </c>
      <c r="E112" s="4" t="s">
        <v>72</v>
      </c>
      <c r="F112" s="17" t="s">
        <v>72</v>
      </c>
      <c r="G112" s="17" t="s">
        <v>72</v>
      </c>
      <c r="H112" s="43" t="s">
        <v>72</v>
      </c>
      <c r="I112" s="45" t="s">
        <v>72</v>
      </c>
      <c r="J112" s="43" t="s">
        <v>72</v>
      </c>
      <c r="L112" s="19" t="s">
        <v>150</v>
      </c>
      <c r="M112" s="19" t="s">
        <v>24</v>
      </c>
      <c r="N112" s="17" t="s">
        <v>72</v>
      </c>
      <c r="O112" s="17" t="s">
        <v>72</v>
      </c>
      <c r="P112" s="43" t="s">
        <v>72</v>
      </c>
      <c r="Q112" s="43" t="s">
        <v>72</v>
      </c>
      <c r="R112" s="43" t="s">
        <v>72</v>
      </c>
    </row>
    <row r="113" spans="1:19" x14ac:dyDescent="0.25">
      <c r="A113" s="2" t="s">
        <v>2</v>
      </c>
    </row>
    <row r="114" spans="1:19" x14ac:dyDescent="0.25">
      <c r="A114" s="10">
        <f>IF(LEN(C114)=17,LEFT(C114,4)+(B114-1)/(DATE(LEFT(C114,4)+1,1,1)-DATE(LEFT(C114,4),1,1)),"BAD DATE FORMAT")</f>
        <v>2024.084701350941</v>
      </c>
      <c r="B114" s="11">
        <f>DATE(LEFT(C114,4),RIGHT(LEFT(C114,7),2),RIGHT(LEFT(C114,10),2))-DATE(LEFT(C114,4),1,1)+1+(RIGHT(LEFT(C114,14),2)*60+RIGHT(C114,2))/1440</f>
        <v>32.000694444444441</v>
      </c>
      <c r="C114" t="s">
        <v>155</v>
      </c>
      <c r="L114" s="19"/>
      <c r="M114" s="19"/>
      <c r="N114" s="18"/>
      <c r="O114" s="18"/>
      <c r="P114" s="48"/>
      <c r="Q114" s="48"/>
    </row>
    <row r="115" spans="1:19" x14ac:dyDescent="0.25">
      <c r="A115" s="2">
        <v>0</v>
      </c>
      <c r="B115" s="2" t="s">
        <v>156</v>
      </c>
      <c r="C115" s="2" t="s">
        <v>156</v>
      </c>
      <c r="D115" s="3" t="s">
        <v>72</v>
      </c>
      <c r="E115" s="4" t="s">
        <v>72</v>
      </c>
      <c r="F115" s="32" t="s">
        <v>72</v>
      </c>
      <c r="G115" s="32" t="s">
        <v>72</v>
      </c>
      <c r="H115" s="42" t="s">
        <v>72</v>
      </c>
      <c r="I115" s="43" t="s">
        <v>72</v>
      </c>
      <c r="J115" s="43" t="s">
        <v>72</v>
      </c>
      <c r="L115" s="19" t="s">
        <v>72</v>
      </c>
      <c r="M115" s="19" t="s">
        <v>72</v>
      </c>
      <c r="N115" s="18" t="s">
        <v>72</v>
      </c>
      <c r="O115" s="18" t="s">
        <v>72</v>
      </c>
      <c r="P115" s="48" t="s">
        <v>72</v>
      </c>
      <c r="Q115" s="48" t="s">
        <v>72</v>
      </c>
      <c r="R115" s="48" t="s">
        <v>72</v>
      </c>
    </row>
    <row r="116" spans="1:19" x14ac:dyDescent="0.25">
      <c r="A116" s="2">
        <v>0</v>
      </c>
      <c r="B116" s="2" t="s">
        <v>157</v>
      </c>
      <c r="C116" s="2" t="s">
        <v>157</v>
      </c>
      <c r="D116" s="3" t="s">
        <v>72</v>
      </c>
      <c r="E116" s="4" t="s">
        <v>72</v>
      </c>
      <c r="F116" s="32" t="s">
        <v>72</v>
      </c>
      <c r="G116" s="32" t="s">
        <v>72</v>
      </c>
      <c r="H116" s="42" t="s">
        <v>72</v>
      </c>
      <c r="I116" s="43" t="s">
        <v>72</v>
      </c>
      <c r="J116" s="43" t="s">
        <v>72</v>
      </c>
      <c r="L116" s="19" t="s">
        <v>72</v>
      </c>
      <c r="M116" s="19" t="s">
        <v>72</v>
      </c>
      <c r="N116" s="18" t="s">
        <v>72</v>
      </c>
      <c r="O116" s="18" t="s">
        <v>72</v>
      </c>
      <c r="P116" s="48" t="s">
        <v>72</v>
      </c>
      <c r="Q116" s="48" t="s">
        <v>72</v>
      </c>
      <c r="R116" s="48" t="s">
        <v>72</v>
      </c>
    </row>
    <row r="117" spans="1:19" x14ac:dyDescent="0.25">
      <c r="A117" s="16">
        <v>1000</v>
      </c>
      <c r="B117" s="10" t="s">
        <v>131</v>
      </c>
      <c r="C117" s="2" t="s">
        <v>130</v>
      </c>
      <c r="D117" s="3">
        <v>1</v>
      </c>
      <c r="E117" s="4">
        <f>1000/D117</f>
        <v>1000</v>
      </c>
      <c r="F117" s="17" t="s">
        <v>72</v>
      </c>
      <c r="G117" s="17" t="s">
        <v>72</v>
      </c>
      <c r="H117" s="38">
        <f>1000/I117</f>
        <v>60.192012519938608</v>
      </c>
      <c r="I117" s="40">
        <v>16.613499999999998</v>
      </c>
      <c r="J117" s="24">
        <v>1.2587336487582701</v>
      </c>
      <c r="L117" s="19" t="s">
        <v>172</v>
      </c>
      <c r="M117" s="19" t="s">
        <v>172</v>
      </c>
      <c r="N117" s="18" t="s">
        <v>72</v>
      </c>
      <c r="O117" s="18" t="s">
        <v>72</v>
      </c>
      <c r="P117" s="48" t="s">
        <v>0</v>
      </c>
      <c r="Q117" s="48" t="s">
        <v>173</v>
      </c>
      <c r="R117" s="48" t="s">
        <v>173</v>
      </c>
      <c r="S117" s="28"/>
    </row>
    <row r="118" spans="1:19" x14ac:dyDescent="0.25">
      <c r="A118" s="16">
        <v>0</v>
      </c>
      <c r="B118" s="10" t="s">
        <v>132</v>
      </c>
      <c r="C118" s="2" t="s">
        <v>135</v>
      </c>
      <c r="D118" s="3" t="s">
        <v>72</v>
      </c>
      <c r="E118" s="4" t="s">
        <v>72</v>
      </c>
      <c r="F118" s="32" t="s">
        <v>72</v>
      </c>
      <c r="G118" s="32" t="s">
        <v>72</v>
      </c>
      <c r="H118" s="42" t="s">
        <v>72</v>
      </c>
      <c r="I118" s="43" t="s">
        <v>72</v>
      </c>
      <c r="J118" s="43" t="s">
        <v>72</v>
      </c>
      <c r="L118" s="19" t="s">
        <v>172</v>
      </c>
      <c r="M118" s="19" t="s">
        <v>172</v>
      </c>
      <c r="N118" s="18" t="s">
        <v>72</v>
      </c>
      <c r="O118" s="18" t="s">
        <v>72</v>
      </c>
      <c r="P118" s="48" t="s">
        <v>72</v>
      </c>
      <c r="Q118" s="48" t="s">
        <v>72</v>
      </c>
      <c r="R118" s="48" t="s">
        <v>72</v>
      </c>
      <c r="S118" s="28"/>
    </row>
    <row r="119" spans="1:19" x14ac:dyDescent="0.25">
      <c r="A119" s="16">
        <v>0</v>
      </c>
      <c r="B119" s="10" t="s">
        <v>138</v>
      </c>
      <c r="C119" s="2" t="s">
        <v>140</v>
      </c>
      <c r="D119" s="3">
        <v>1</v>
      </c>
      <c r="E119" s="4">
        <f>1000/D119</f>
        <v>1000</v>
      </c>
      <c r="F119" s="32" t="s">
        <v>72</v>
      </c>
      <c r="G119" s="32" t="s">
        <v>72</v>
      </c>
      <c r="H119" s="37">
        <f>1000/I119</f>
        <v>60.192012519938608</v>
      </c>
      <c r="I119" s="25">
        <f>I117</f>
        <v>16.613499999999998</v>
      </c>
      <c r="J119" s="25">
        <f>J117</f>
        <v>1.2587336487582701</v>
      </c>
      <c r="L119" s="19" t="s">
        <v>172</v>
      </c>
      <c r="M119" s="19" t="s">
        <v>172</v>
      </c>
      <c r="N119" s="18" t="s">
        <v>72</v>
      </c>
      <c r="O119" s="18" t="s">
        <v>72</v>
      </c>
      <c r="P119" s="48" t="s">
        <v>72</v>
      </c>
      <c r="Q119" s="48" t="s">
        <v>72</v>
      </c>
      <c r="R119" s="48" t="s">
        <v>72</v>
      </c>
      <c r="S119" s="28"/>
    </row>
    <row r="120" spans="1:19" x14ac:dyDescent="0.25">
      <c r="A120" s="35">
        <v>0</v>
      </c>
      <c r="B120" s="36" t="s">
        <v>161</v>
      </c>
      <c r="C120" s="25" t="s">
        <v>162</v>
      </c>
      <c r="D120" s="37" t="s">
        <v>72</v>
      </c>
      <c r="E120" s="25" t="s">
        <v>72</v>
      </c>
      <c r="F120" s="25" t="s">
        <v>72</v>
      </c>
      <c r="G120" s="25" t="s">
        <v>72</v>
      </c>
      <c r="H120" s="37" t="s">
        <v>72</v>
      </c>
      <c r="I120" s="25" t="s">
        <v>72</v>
      </c>
      <c r="J120" s="44" t="s">
        <v>72</v>
      </c>
      <c r="L120" s="19" t="s">
        <v>172</v>
      </c>
      <c r="M120" s="19" t="s">
        <v>172</v>
      </c>
      <c r="N120" s="18" t="s">
        <v>72</v>
      </c>
      <c r="O120" s="18" t="s">
        <v>72</v>
      </c>
      <c r="P120" s="48" t="s">
        <v>72</v>
      </c>
      <c r="Q120" s="48" t="s">
        <v>72</v>
      </c>
      <c r="R120" s="48" t="s">
        <v>72</v>
      </c>
      <c r="S120" s="28"/>
    </row>
    <row r="121" spans="1:19" x14ac:dyDescent="0.25">
      <c r="A121" s="16">
        <v>2010</v>
      </c>
      <c r="B121" s="2" t="s">
        <v>36</v>
      </c>
      <c r="C121" s="2" t="s">
        <v>121</v>
      </c>
      <c r="D121" s="3">
        <v>1</v>
      </c>
      <c r="E121" s="4">
        <f>1000/D121</f>
        <v>1000</v>
      </c>
      <c r="F121" s="17" t="s">
        <v>72</v>
      </c>
      <c r="G121" s="17" t="s">
        <v>72</v>
      </c>
      <c r="H121" s="25">
        <f>1000/I121</f>
        <v>119.65157461472194</v>
      </c>
      <c r="I121" s="41">
        <v>8.3575999999999997</v>
      </c>
      <c r="J121" s="25">
        <v>1.8811551773110999</v>
      </c>
      <c r="L121" s="19" t="s">
        <v>172</v>
      </c>
      <c r="M121" s="19" t="s">
        <v>172</v>
      </c>
      <c r="N121" s="18" t="s">
        <v>72</v>
      </c>
      <c r="O121" s="18" t="s">
        <v>72</v>
      </c>
      <c r="P121" s="48" t="s">
        <v>0</v>
      </c>
      <c r="Q121" s="48" t="s">
        <v>174</v>
      </c>
      <c r="R121" s="48" t="s">
        <v>174</v>
      </c>
      <c r="S121" s="28"/>
    </row>
    <row r="122" spans="1:19" x14ac:dyDescent="0.25">
      <c r="A122" s="16">
        <v>0</v>
      </c>
      <c r="B122" s="2" t="s">
        <v>133</v>
      </c>
      <c r="C122" s="2" t="s">
        <v>136</v>
      </c>
      <c r="D122" s="3" t="s">
        <v>72</v>
      </c>
      <c r="E122" s="4" t="s">
        <v>72</v>
      </c>
      <c r="F122" s="32" t="s">
        <v>72</v>
      </c>
      <c r="G122" s="32" t="s">
        <v>72</v>
      </c>
      <c r="H122" s="42" t="s">
        <v>72</v>
      </c>
      <c r="I122" s="43" t="s">
        <v>72</v>
      </c>
      <c r="J122" s="43" t="s">
        <v>72</v>
      </c>
      <c r="L122" s="19" t="s">
        <v>172</v>
      </c>
      <c r="M122" s="19" t="s">
        <v>172</v>
      </c>
      <c r="N122" s="18" t="s">
        <v>72</v>
      </c>
      <c r="O122" s="18" t="s">
        <v>72</v>
      </c>
      <c r="P122" s="48" t="s">
        <v>72</v>
      </c>
      <c r="Q122" s="48" t="s">
        <v>72</v>
      </c>
      <c r="R122" s="48" t="s">
        <v>72</v>
      </c>
      <c r="S122" s="28"/>
    </row>
    <row r="123" spans="1:19" x14ac:dyDescent="0.25">
      <c r="A123" s="16">
        <v>0</v>
      </c>
      <c r="B123" s="2" t="s">
        <v>91</v>
      </c>
      <c r="C123" s="2" t="s">
        <v>124</v>
      </c>
      <c r="D123" s="3">
        <v>1</v>
      </c>
      <c r="E123" s="4">
        <f>1000/D123</f>
        <v>1000</v>
      </c>
      <c r="F123" s="17" t="s">
        <v>72</v>
      </c>
      <c r="G123" s="17" t="s">
        <v>72</v>
      </c>
      <c r="H123" s="38">
        <f>1000/I123</f>
        <v>119.65157461472194</v>
      </c>
      <c r="I123" s="40">
        <f>I121</f>
        <v>8.3575999999999997</v>
      </c>
      <c r="J123" s="24">
        <f>J121</f>
        <v>1.8811551773110999</v>
      </c>
      <c r="L123" s="19" t="s">
        <v>172</v>
      </c>
      <c r="M123" s="19" t="s">
        <v>172</v>
      </c>
      <c r="N123" s="18" t="s">
        <v>72</v>
      </c>
      <c r="O123" s="18" t="s">
        <v>72</v>
      </c>
      <c r="P123" s="48" t="s">
        <v>72</v>
      </c>
      <c r="Q123" s="48" t="s">
        <v>72</v>
      </c>
      <c r="R123" s="48" t="s">
        <v>72</v>
      </c>
      <c r="S123" s="28"/>
    </row>
    <row r="124" spans="1:19" x14ac:dyDescent="0.25">
      <c r="A124" s="35">
        <v>0</v>
      </c>
      <c r="B124" s="25" t="s">
        <v>163</v>
      </c>
      <c r="C124" s="25" t="s">
        <v>164</v>
      </c>
      <c r="D124" s="37" t="s">
        <v>72</v>
      </c>
      <c r="E124" s="25" t="s">
        <v>72</v>
      </c>
      <c r="F124" s="25" t="s">
        <v>72</v>
      </c>
      <c r="G124" s="25" t="s">
        <v>72</v>
      </c>
      <c r="H124" s="37" t="s">
        <v>72</v>
      </c>
      <c r="I124" s="25" t="s">
        <v>72</v>
      </c>
      <c r="J124" s="44" t="s">
        <v>72</v>
      </c>
      <c r="L124" s="19" t="s">
        <v>172</v>
      </c>
      <c r="M124" s="19" t="s">
        <v>172</v>
      </c>
      <c r="N124" s="18" t="s">
        <v>72</v>
      </c>
      <c r="O124" s="18" t="s">
        <v>72</v>
      </c>
      <c r="P124" s="48" t="s">
        <v>72</v>
      </c>
      <c r="Q124" s="48" t="s">
        <v>72</v>
      </c>
      <c r="R124" s="48" t="s">
        <v>72</v>
      </c>
      <c r="S124" s="28"/>
    </row>
    <row r="125" spans="1:19" x14ac:dyDescent="0.25">
      <c r="A125" s="16">
        <v>3000</v>
      </c>
      <c r="B125" s="10" t="s">
        <v>128</v>
      </c>
      <c r="C125" t="s">
        <v>129</v>
      </c>
      <c r="D125" s="3">
        <v>1</v>
      </c>
      <c r="E125" s="4">
        <f>1000/D125</f>
        <v>1000</v>
      </c>
      <c r="F125" s="17" t="s">
        <v>72</v>
      </c>
      <c r="G125" s="17" t="s">
        <v>72</v>
      </c>
      <c r="H125" s="39">
        <f>1000/I125</f>
        <v>75.141641995160882</v>
      </c>
      <c r="I125" s="40">
        <v>13.308199999999999</v>
      </c>
      <c r="J125" s="24">
        <v>1.2914628942617901</v>
      </c>
      <c r="L125" s="19" t="s">
        <v>172</v>
      </c>
      <c r="M125" s="19" t="s">
        <v>172</v>
      </c>
      <c r="N125" s="18" t="s">
        <v>72</v>
      </c>
      <c r="O125" s="18" t="s">
        <v>72</v>
      </c>
      <c r="P125" s="48" t="s">
        <v>0</v>
      </c>
      <c r="Q125" s="48" t="s">
        <v>175</v>
      </c>
      <c r="R125" s="48" t="s">
        <v>175</v>
      </c>
      <c r="S125" s="28"/>
    </row>
    <row r="126" spans="1:19" x14ac:dyDescent="0.25">
      <c r="A126" s="16">
        <v>0</v>
      </c>
      <c r="B126" s="10" t="s">
        <v>134</v>
      </c>
      <c r="C126" t="s">
        <v>137</v>
      </c>
      <c r="D126" s="3" t="s">
        <v>72</v>
      </c>
      <c r="E126" s="4" t="s">
        <v>72</v>
      </c>
      <c r="F126" s="32" t="s">
        <v>72</v>
      </c>
      <c r="G126" s="32" t="s">
        <v>72</v>
      </c>
      <c r="H126" s="42" t="s">
        <v>72</v>
      </c>
      <c r="I126" s="43" t="s">
        <v>72</v>
      </c>
      <c r="J126" s="43" t="s">
        <v>72</v>
      </c>
      <c r="L126" s="19" t="s">
        <v>172</v>
      </c>
      <c r="M126" s="19" t="s">
        <v>172</v>
      </c>
      <c r="N126" s="18" t="s">
        <v>72</v>
      </c>
      <c r="O126" s="18" t="s">
        <v>72</v>
      </c>
      <c r="P126" s="48" t="s">
        <v>72</v>
      </c>
      <c r="Q126" s="48" t="s">
        <v>72</v>
      </c>
      <c r="R126" s="48" t="s">
        <v>72</v>
      </c>
    </row>
    <row r="127" spans="1:19" x14ac:dyDescent="0.25">
      <c r="A127" s="16">
        <v>0</v>
      </c>
      <c r="B127" s="10" t="s">
        <v>139</v>
      </c>
      <c r="C127" t="s">
        <v>141</v>
      </c>
      <c r="D127" s="3">
        <v>1</v>
      </c>
      <c r="E127" s="4">
        <f>1000/D127</f>
        <v>1000</v>
      </c>
      <c r="F127" s="17" t="s">
        <v>72</v>
      </c>
      <c r="G127" s="17" t="s">
        <v>72</v>
      </c>
      <c r="H127" s="38">
        <f>1000/I127</f>
        <v>75.141641995160882</v>
      </c>
      <c r="I127" s="40">
        <f>I125</f>
        <v>13.308199999999999</v>
      </c>
      <c r="J127" s="24">
        <f>J125</f>
        <v>1.2914628942617901</v>
      </c>
      <c r="L127" s="19" t="s">
        <v>172</v>
      </c>
      <c r="M127" s="19" t="s">
        <v>172</v>
      </c>
      <c r="N127" s="18" t="s">
        <v>72</v>
      </c>
      <c r="O127" s="18" t="s">
        <v>72</v>
      </c>
      <c r="P127" s="48" t="s">
        <v>72</v>
      </c>
      <c r="Q127" s="48" t="s">
        <v>72</v>
      </c>
      <c r="R127" s="48" t="s">
        <v>72</v>
      </c>
    </row>
    <row r="128" spans="1:19" x14ac:dyDescent="0.25">
      <c r="A128" s="25">
        <v>0</v>
      </c>
      <c r="B128" s="36" t="s">
        <v>165</v>
      </c>
      <c r="C128" s="24" t="s">
        <v>166</v>
      </c>
      <c r="D128" s="37" t="s">
        <v>72</v>
      </c>
      <c r="E128" s="25" t="s">
        <v>72</v>
      </c>
      <c r="F128" s="25" t="s">
        <v>72</v>
      </c>
      <c r="G128" s="25" t="s">
        <v>72</v>
      </c>
      <c r="H128" s="37" t="s">
        <v>72</v>
      </c>
      <c r="I128" s="25" t="s">
        <v>72</v>
      </c>
      <c r="J128" s="44" t="s">
        <v>72</v>
      </c>
      <c r="L128" s="19" t="s">
        <v>172</v>
      </c>
      <c r="M128" s="19" t="s">
        <v>172</v>
      </c>
      <c r="N128" s="18" t="s">
        <v>72</v>
      </c>
      <c r="O128" s="18" t="s">
        <v>72</v>
      </c>
      <c r="P128" s="48" t="s">
        <v>72</v>
      </c>
      <c r="Q128" s="48" t="s">
        <v>72</v>
      </c>
      <c r="R128" s="48" t="s">
        <v>72</v>
      </c>
    </row>
    <row r="129" spans="1:19" x14ac:dyDescent="0.25">
      <c r="A129" s="25">
        <v>0</v>
      </c>
      <c r="B129" s="25" t="s">
        <v>158</v>
      </c>
      <c r="C129" s="25" t="s">
        <v>158</v>
      </c>
      <c r="D129" s="37" t="s">
        <v>72</v>
      </c>
      <c r="E129" s="25" t="s">
        <v>72</v>
      </c>
      <c r="F129" s="25" t="s">
        <v>72</v>
      </c>
      <c r="G129" s="25" t="s">
        <v>72</v>
      </c>
      <c r="H129" s="37" t="s">
        <v>72</v>
      </c>
      <c r="I129" s="25" t="s">
        <v>72</v>
      </c>
      <c r="J129" s="25" t="s">
        <v>72</v>
      </c>
      <c r="L129" s="19" t="s">
        <v>172</v>
      </c>
      <c r="M129" s="19" t="s">
        <v>172</v>
      </c>
      <c r="N129" s="18" t="s">
        <v>72</v>
      </c>
      <c r="O129" s="18" t="s">
        <v>72</v>
      </c>
      <c r="P129" s="48" t="s">
        <v>72</v>
      </c>
      <c r="Q129" s="48" t="s">
        <v>72</v>
      </c>
      <c r="R129" s="48" t="s">
        <v>72</v>
      </c>
      <c r="S129" s="28"/>
    </row>
    <row r="130" spans="1:19" x14ac:dyDescent="0.25">
      <c r="A130" s="2">
        <v>9300</v>
      </c>
      <c r="B130" s="2" t="s">
        <v>32</v>
      </c>
      <c r="C130" s="2" t="s">
        <v>126</v>
      </c>
      <c r="D130" s="3">
        <v>1</v>
      </c>
      <c r="E130" s="4">
        <f>1000/D130</f>
        <v>1000</v>
      </c>
      <c r="F130" s="17" t="s">
        <v>72</v>
      </c>
      <c r="G130" s="17" t="s">
        <v>72</v>
      </c>
      <c r="H130" s="43">
        <v>1</v>
      </c>
      <c r="I130" s="45">
        <v>1000</v>
      </c>
      <c r="J130" s="43">
        <v>1</v>
      </c>
      <c r="L130" s="19" t="s">
        <v>172</v>
      </c>
      <c r="M130" s="19" t="s">
        <v>172</v>
      </c>
      <c r="N130" s="18" t="s">
        <v>72</v>
      </c>
      <c r="O130" s="18" t="s">
        <v>72</v>
      </c>
      <c r="P130" s="48" t="s">
        <v>0</v>
      </c>
      <c r="Q130" s="48" t="s">
        <v>43</v>
      </c>
      <c r="R130" s="43" t="s">
        <v>44</v>
      </c>
    </row>
    <row r="131" spans="1:19" x14ac:dyDescent="0.25">
      <c r="A131" s="2">
        <v>0</v>
      </c>
      <c r="B131" s="2" t="s">
        <v>167</v>
      </c>
      <c r="C131" s="2" t="s">
        <v>167</v>
      </c>
      <c r="D131" s="3" t="s">
        <v>72</v>
      </c>
      <c r="E131" s="4" t="s">
        <v>72</v>
      </c>
      <c r="F131" s="32" t="s">
        <v>72</v>
      </c>
      <c r="G131" s="32" t="s">
        <v>72</v>
      </c>
      <c r="H131" s="42" t="s">
        <v>72</v>
      </c>
      <c r="I131" s="43" t="s">
        <v>72</v>
      </c>
      <c r="J131" s="43" t="s">
        <v>72</v>
      </c>
      <c r="L131" s="19" t="s">
        <v>72</v>
      </c>
      <c r="M131" s="19" t="s">
        <v>72</v>
      </c>
      <c r="N131" s="18" t="s">
        <v>72</v>
      </c>
      <c r="O131" s="18" t="s">
        <v>72</v>
      </c>
      <c r="P131" s="48" t="s">
        <v>72</v>
      </c>
      <c r="Q131" s="48" t="s">
        <v>72</v>
      </c>
      <c r="R131" s="48" t="s">
        <v>72</v>
      </c>
    </row>
    <row r="132" spans="1:19" x14ac:dyDescent="0.25">
      <c r="A132" s="2">
        <v>0</v>
      </c>
      <c r="B132" s="2" t="s">
        <v>159</v>
      </c>
      <c r="C132" s="2" t="s">
        <v>159</v>
      </c>
      <c r="D132" s="3" t="s">
        <v>72</v>
      </c>
      <c r="E132" s="4" t="s">
        <v>72</v>
      </c>
      <c r="F132" s="32" t="s">
        <v>72</v>
      </c>
      <c r="G132" s="32" t="s">
        <v>72</v>
      </c>
      <c r="H132" s="42" t="s">
        <v>72</v>
      </c>
      <c r="I132" s="43" t="s">
        <v>72</v>
      </c>
      <c r="J132" s="43" t="s">
        <v>72</v>
      </c>
      <c r="L132" s="19" t="s">
        <v>72</v>
      </c>
      <c r="M132" s="19" t="s">
        <v>72</v>
      </c>
      <c r="N132" s="18" t="s">
        <v>72</v>
      </c>
      <c r="O132" s="18" t="s">
        <v>72</v>
      </c>
      <c r="P132" s="48" t="s">
        <v>72</v>
      </c>
      <c r="Q132" s="48" t="s">
        <v>72</v>
      </c>
      <c r="R132" s="48" t="s">
        <v>72</v>
      </c>
      <c r="S132" s="28"/>
    </row>
    <row r="133" spans="1:19" x14ac:dyDescent="0.25">
      <c r="A133" s="2">
        <v>0</v>
      </c>
      <c r="B133" s="2" t="s">
        <v>160</v>
      </c>
      <c r="C133" s="2" t="s">
        <v>160</v>
      </c>
      <c r="D133" s="3" t="s">
        <v>72</v>
      </c>
      <c r="E133" s="4" t="s">
        <v>72</v>
      </c>
      <c r="F133" s="32" t="s">
        <v>72</v>
      </c>
      <c r="G133" s="32" t="s">
        <v>72</v>
      </c>
      <c r="H133" s="42" t="s">
        <v>72</v>
      </c>
      <c r="I133" s="43" t="s">
        <v>72</v>
      </c>
      <c r="J133" s="43" t="s">
        <v>72</v>
      </c>
      <c r="L133" s="19" t="s">
        <v>72</v>
      </c>
      <c r="M133" s="19" t="s">
        <v>72</v>
      </c>
      <c r="N133" s="18" t="s">
        <v>72</v>
      </c>
      <c r="O133" s="18" t="s">
        <v>72</v>
      </c>
      <c r="P133" s="48" t="s">
        <v>72</v>
      </c>
      <c r="Q133" s="48" t="s">
        <v>72</v>
      </c>
      <c r="R133" s="48" t="s">
        <v>72</v>
      </c>
    </row>
    <row r="134" spans="1:19" x14ac:dyDescent="0.25">
      <c r="A134" s="47">
        <v>0</v>
      </c>
      <c r="B134" s="10" t="s">
        <v>168</v>
      </c>
      <c r="C134" s="2" t="s">
        <v>169</v>
      </c>
      <c r="D134" s="3" t="s">
        <v>72</v>
      </c>
      <c r="E134" s="4" t="s">
        <v>72</v>
      </c>
      <c r="F134" s="32" t="s">
        <v>72</v>
      </c>
      <c r="G134" s="32" t="s">
        <v>72</v>
      </c>
      <c r="H134" s="42" t="s">
        <v>72</v>
      </c>
      <c r="I134" s="43" t="s">
        <v>72</v>
      </c>
      <c r="J134" s="43" t="s">
        <v>72</v>
      </c>
      <c r="L134" s="19" t="s">
        <v>172</v>
      </c>
      <c r="M134" s="19" t="s">
        <v>172</v>
      </c>
      <c r="N134" s="18" t="s">
        <v>72</v>
      </c>
      <c r="O134" s="18" t="s">
        <v>72</v>
      </c>
      <c r="P134" s="48" t="s">
        <v>72</v>
      </c>
      <c r="Q134" s="48" t="s">
        <v>72</v>
      </c>
      <c r="R134" s="48" t="s">
        <v>72</v>
      </c>
    </row>
    <row r="135" spans="1:19" x14ac:dyDescent="0.25">
      <c r="A135" s="47">
        <v>0</v>
      </c>
      <c r="B135" s="10" t="s">
        <v>170</v>
      </c>
      <c r="C135" s="2" t="s">
        <v>171</v>
      </c>
      <c r="D135" s="3" t="s">
        <v>72</v>
      </c>
      <c r="E135" s="4" t="s">
        <v>72</v>
      </c>
      <c r="F135" s="32" t="s">
        <v>72</v>
      </c>
      <c r="G135" s="32" t="s">
        <v>72</v>
      </c>
      <c r="H135" s="42" t="s">
        <v>72</v>
      </c>
      <c r="I135" s="43" t="s">
        <v>72</v>
      </c>
      <c r="J135" s="43" t="s">
        <v>72</v>
      </c>
      <c r="L135" s="19" t="s">
        <v>172</v>
      </c>
      <c r="M135" s="19" t="s">
        <v>172</v>
      </c>
      <c r="N135" s="18" t="s">
        <v>72</v>
      </c>
      <c r="O135" s="18" t="s">
        <v>72</v>
      </c>
      <c r="P135" s="48" t="s">
        <v>72</v>
      </c>
      <c r="Q135" s="48" t="s">
        <v>72</v>
      </c>
      <c r="R135" s="48" t="s">
        <v>72</v>
      </c>
    </row>
    <row r="136" spans="1:19" x14ac:dyDescent="0.25">
      <c r="A136" s="2">
        <v>0</v>
      </c>
      <c r="B136" s="10" t="s">
        <v>142</v>
      </c>
      <c r="C136" s="2" t="s">
        <v>144</v>
      </c>
      <c r="D136" s="3" t="s">
        <v>72</v>
      </c>
      <c r="E136" s="4" t="s">
        <v>72</v>
      </c>
      <c r="F136" s="32" t="s">
        <v>72</v>
      </c>
      <c r="G136" s="32" t="s">
        <v>72</v>
      </c>
      <c r="H136" s="42" t="s">
        <v>72</v>
      </c>
      <c r="I136" s="43" t="s">
        <v>72</v>
      </c>
      <c r="J136" s="43" t="s">
        <v>72</v>
      </c>
      <c r="L136" s="19" t="s">
        <v>172</v>
      </c>
      <c r="M136" s="19" t="s">
        <v>172</v>
      </c>
      <c r="N136" s="18" t="s">
        <v>72</v>
      </c>
      <c r="O136" s="18" t="s">
        <v>72</v>
      </c>
      <c r="P136" s="48" t="s">
        <v>72</v>
      </c>
      <c r="Q136" s="48" t="s">
        <v>72</v>
      </c>
      <c r="R136" s="48" t="s">
        <v>72</v>
      </c>
    </row>
    <row r="137" spans="1:19" x14ac:dyDescent="0.25">
      <c r="A137" s="2">
        <v>0</v>
      </c>
      <c r="B137" s="10" t="s">
        <v>143</v>
      </c>
      <c r="C137" t="s">
        <v>145</v>
      </c>
      <c r="D137" s="3" t="s">
        <v>72</v>
      </c>
      <c r="E137" s="4" t="s">
        <v>72</v>
      </c>
      <c r="F137" s="32" t="s">
        <v>72</v>
      </c>
      <c r="G137" s="32" t="s">
        <v>72</v>
      </c>
      <c r="H137" s="42" t="s">
        <v>72</v>
      </c>
      <c r="I137" s="43" t="s">
        <v>72</v>
      </c>
      <c r="J137" s="43" t="s">
        <v>72</v>
      </c>
      <c r="L137" s="19" t="s">
        <v>172</v>
      </c>
      <c r="M137" s="19" t="s">
        <v>172</v>
      </c>
      <c r="N137" s="18" t="s">
        <v>72</v>
      </c>
      <c r="O137" s="18" t="s">
        <v>72</v>
      </c>
      <c r="P137" s="48" t="s">
        <v>72</v>
      </c>
      <c r="Q137" s="48" t="s">
        <v>72</v>
      </c>
      <c r="R137" s="48" t="s">
        <v>72</v>
      </c>
    </row>
    <row r="138" spans="1:19" x14ac:dyDescent="0.25">
      <c r="A138" s="2" t="s">
        <v>2</v>
      </c>
    </row>
    <row r="139" spans="1:19" x14ac:dyDescent="0.25">
      <c r="A139" s="10">
        <f>IF(LEN(C139)=17,LEFT(C139,4)+(B139-1)/(DATE(LEFT(C139,4)+1,1,1)-DATE(LEFT(C139,4),1,1)),"BAD DATE FORMAT")</f>
        <v>2024.5819691105039</v>
      </c>
      <c r="B139" s="11">
        <f>DATE(LEFT(C139,4),RIGHT(LEFT(C139,7),2),RIGHT(LEFT(C139,10),2))-DATE(LEFT(C139,4),1,1)+1+(RIGHT(LEFT(C139,14),2)*60+RIGHT(C139,2))/1440</f>
        <v>214.00069444444443</v>
      </c>
      <c r="C139" t="s">
        <v>176</v>
      </c>
      <c r="L139" s="19"/>
      <c r="M139" s="19"/>
      <c r="N139" s="18"/>
      <c r="O139" s="18"/>
      <c r="P139" s="48"/>
      <c r="Q139" s="48"/>
    </row>
    <row r="140" spans="1:19" x14ac:dyDescent="0.25">
      <c r="A140" s="2">
        <v>0</v>
      </c>
      <c r="B140" s="2" t="s">
        <v>156</v>
      </c>
      <c r="C140" s="2" t="s">
        <v>156</v>
      </c>
      <c r="D140" s="3" t="s">
        <v>72</v>
      </c>
      <c r="E140" s="4" t="s">
        <v>72</v>
      </c>
      <c r="F140" s="32" t="s">
        <v>72</v>
      </c>
      <c r="G140" s="32" t="s">
        <v>72</v>
      </c>
      <c r="H140" s="42" t="s">
        <v>72</v>
      </c>
      <c r="I140" s="43" t="s">
        <v>72</v>
      </c>
      <c r="J140" s="43" t="s">
        <v>72</v>
      </c>
      <c r="L140" s="19" t="s">
        <v>72</v>
      </c>
      <c r="M140" s="19" t="s">
        <v>72</v>
      </c>
      <c r="N140" s="18" t="s">
        <v>72</v>
      </c>
      <c r="O140" s="18" t="s">
        <v>72</v>
      </c>
      <c r="P140" s="48" t="s">
        <v>72</v>
      </c>
      <c r="Q140" s="48" t="s">
        <v>72</v>
      </c>
      <c r="R140" s="48" t="s">
        <v>72</v>
      </c>
    </row>
    <row r="141" spans="1:19" x14ac:dyDescent="0.25">
      <c r="A141" s="2">
        <v>0</v>
      </c>
      <c r="B141" s="2" t="s">
        <v>157</v>
      </c>
      <c r="C141" s="2" t="s">
        <v>157</v>
      </c>
      <c r="D141" s="3" t="s">
        <v>72</v>
      </c>
      <c r="E141" s="4" t="s">
        <v>72</v>
      </c>
      <c r="F141" s="32" t="s">
        <v>72</v>
      </c>
      <c r="G141" s="32" t="s">
        <v>72</v>
      </c>
      <c r="H141" s="42" t="s">
        <v>72</v>
      </c>
      <c r="I141" s="43" t="s">
        <v>72</v>
      </c>
      <c r="J141" s="43" t="s">
        <v>72</v>
      </c>
      <c r="L141" s="19" t="s">
        <v>72</v>
      </c>
      <c r="M141" s="19" t="s">
        <v>72</v>
      </c>
      <c r="N141" s="18" t="s">
        <v>72</v>
      </c>
      <c r="O141" s="18" t="s">
        <v>72</v>
      </c>
      <c r="P141" s="48" t="s">
        <v>72</v>
      </c>
      <c r="Q141" s="48" t="s">
        <v>72</v>
      </c>
      <c r="R141" s="48" t="s">
        <v>72</v>
      </c>
    </row>
    <row r="142" spans="1:19" x14ac:dyDescent="0.25">
      <c r="A142" s="2">
        <v>1000</v>
      </c>
      <c r="B142" s="2" t="s">
        <v>177</v>
      </c>
      <c r="C142" s="2" t="s">
        <v>177</v>
      </c>
      <c r="D142" s="3">
        <v>1</v>
      </c>
      <c r="E142" s="4">
        <f>1000/D142</f>
        <v>1000</v>
      </c>
      <c r="F142" s="32" t="s">
        <v>72</v>
      </c>
      <c r="G142" s="32" t="s">
        <v>72</v>
      </c>
      <c r="H142" s="42">
        <f>1000/I142</f>
        <v>116.93034459372552</v>
      </c>
      <c r="I142" s="43">
        <v>8.5520999999999994</v>
      </c>
      <c r="J142" s="43">
        <v>2.5210182294407226</v>
      </c>
      <c r="L142" s="19" t="s">
        <v>172</v>
      </c>
      <c r="M142" s="19" t="s">
        <v>172</v>
      </c>
      <c r="N142" s="18" t="s">
        <v>72</v>
      </c>
      <c r="O142" s="18" t="s">
        <v>72</v>
      </c>
      <c r="P142" s="48" t="s">
        <v>0</v>
      </c>
      <c r="Q142" s="48" t="s">
        <v>189</v>
      </c>
      <c r="R142" s="48" t="str">
        <f>Q142</f>
        <v>CMP11(151961).xlsx \ R(2024.5)</v>
      </c>
      <c r="S142" s="28"/>
    </row>
    <row r="143" spans="1:19" x14ac:dyDescent="0.25">
      <c r="A143" s="2">
        <v>0</v>
      </c>
      <c r="B143" s="2" t="s">
        <v>179</v>
      </c>
      <c r="C143" s="2" t="s">
        <v>179</v>
      </c>
      <c r="D143" s="3" t="s">
        <v>72</v>
      </c>
      <c r="E143" s="4" t="s">
        <v>72</v>
      </c>
      <c r="F143" s="32" t="s">
        <v>72</v>
      </c>
      <c r="G143" s="32" t="s">
        <v>72</v>
      </c>
      <c r="H143" s="42" t="s">
        <v>72</v>
      </c>
      <c r="I143" s="43" t="s">
        <v>72</v>
      </c>
      <c r="J143" s="43" t="s">
        <v>72</v>
      </c>
      <c r="L143" s="19" t="s">
        <v>172</v>
      </c>
      <c r="M143" s="19" t="s">
        <v>172</v>
      </c>
      <c r="N143" s="18" t="s">
        <v>72</v>
      </c>
      <c r="O143" s="18" t="s">
        <v>72</v>
      </c>
      <c r="P143" s="48" t="s">
        <v>72</v>
      </c>
      <c r="Q143" s="48" t="s">
        <v>72</v>
      </c>
      <c r="R143" s="48" t="s">
        <v>72</v>
      </c>
      <c r="S143" s="28"/>
    </row>
    <row r="144" spans="1:19" x14ac:dyDescent="0.25">
      <c r="A144" s="2">
        <v>0</v>
      </c>
      <c r="B144" s="2" t="s">
        <v>180</v>
      </c>
      <c r="C144" s="2" t="s">
        <v>180</v>
      </c>
      <c r="D144" s="3">
        <v>1</v>
      </c>
      <c r="E144" s="4">
        <f>1000/D144</f>
        <v>1000</v>
      </c>
      <c r="F144" s="32" t="s">
        <v>72</v>
      </c>
      <c r="G144" s="32" t="s">
        <v>72</v>
      </c>
      <c r="H144" s="42">
        <f>1000/I144</f>
        <v>116.93034459372552</v>
      </c>
      <c r="I144" s="43">
        <f>I142</f>
        <v>8.5520999999999994</v>
      </c>
      <c r="J144" s="43">
        <f>J142</f>
        <v>2.5210182294407226</v>
      </c>
      <c r="L144" s="19" t="s">
        <v>172</v>
      </c>
      <c r="M144" s="19" t="s">
        <v>172</v>
      </c>
      <c r="N144" s="18" t="s">
        <v>72</v>
      </c>
      <c r="O144" s="18" t="s">
        <v>72</v>
      </c>
      <c r="P144" s="48" t="s">
        <v>72</v>
      </c>
      <c r="Q144" s="48" t="s">
        <v>72</v>
      </c>
      <c r="R144" s="48" t="s">
        <v>72</v>
      </c>
      <c r="S144" s="28"/>
    </row>
    <row r="145" spans="1:19" x14ac:dyDescent="0.25">
      <c r="A145" s="2">
        <v>0</v>
      </c>
      <c r="B145" s="2" t="s">
        <v>181</v>
      </c>
      <c r="C145" s="2" t="s">
        <v>181</v>
      </c>
      <c r="D145" s="3" t="s">
        <v>72</v>
      </c>
      <c r="E145" s="4" t="s">
        <v>72</v>
      </c>
      <c r="F145" s="32" t="s">
        <v>72</v>
      </c>
      <c r="G145" s="32" t="s">
        <v>72</v>
      </c>
      <c r="H145" s="42" t="s">
        <v>72</v>
      </c>
      <c r="I145" s="43" t="s">
        <v>72</v>
      </c>
      <c r="J145" s="43" t="s">
        <v>72</v>
      </c>
      <c r="L145" s="19" t="s">
        <v>172</v>
      </c>
      <c r="M145" s="19" t="s">
        <v>172</v>
      </c>
      <c r="N145" s="18" t="s">
        <v>72</v>
      </c>
      <c r="O145" s="18" t="s">
        <v>72</v>
      </c>
      <c r="P145" s="48" t="s">
        <v>72</v>
      </c>
      <c r="Q145" s="48" t="s">
        <v>72</v>
      </c>
      <c r="R145" s="48" t="s">
        <v>72</v>
      </c>
      <c r="S145" s="28"/>
    </row>
    <row r="146" spans="1:19" x14ac:dyDescent="0.25">
      <c r="A146" s="2">
        <v>2010</v>
      </c>
      <c r="B146" s="2" t="s">
        <v>185</v>
      </c>
      <c r="C146" s="2" t="s">
        <v>185</v>
      </c>
      <c r="D146" s="3">
        <v>1</v>
      </c>
      <c r="E146" s="4">
        <f>1000/D146</f>
        <v>1000</v>
      </c>
      <c r="F146" s="32" t="s">
        <v>72</v>
      </c>
      <c r="G146" s="32" t="s">
        <v>72</v>
      </c>
      <c r="H146" s="42">
        <f>1000/I146</f>
        <v>138.66932911778574</v>
      </c>
      <c r="I146" s="43">
        <v>7.2114000000000003</v>
      </c>
      <c r="J146" s="43">
        <v>0.92975468817938656</v>
      </c>
      <c r="L146" s="19" t="s">
        <v>172</v>
      </c>
      <c r="M146" s="19" t="s">
        <v>172</v>
      </c>
      <c r="N146" s="18" t="s">
        <v>72</v>
      </c>
      <c r="O146" s="18" t="s">
        <v>72</v>
      </c>
      <c r="P146" s="48" t="s">
        <v>0</v>
      </c>
      <c r="Q146" s="48" t="s">
        <v>190</v>
      </c>
      <c r="R146" s="48" t="str">
        <f>Q146</f>
        <v>NIP(27087E6).xlsx \ R(2024.5)</v>
      </c>
      <c r="S146" s="28"/>
    </row>
    <row r="147" spans="1:19" x14ac:dyDescent="0.25">
      <c r="A147" s="2">
        <v>0</v>
      </c>
      <c r="B147" s="2" t="s">
        <v>186</v>
      </c>
      <c r="C147" s="2" t="s">
        <v>186</v>
      </c>
      <c r="D147" s="3" t="s">
        <v>72</v>
      </c>
      <c r="E147" s="4" t="s">
        <v>72</v>
      </c>
      <c r="F147" s="32" t="s">
        <v>72</v>
      </c>
      <c r="G147" s="32" t="s">
        <v>72</v>
      </c>
      <c r="H147" s="42" t="s">
        <v>72</v>
      </c>
      <c r="I147" s="43" t="s">
        <v>72</v>
      </c>
      <c r="J147" s="43" t="s">
        <v>72</v>
      </c>
      <c r="L147" s="19" t="s">
        <v>172</v>
      </c>
      <c r="M147" s="19" t="s">
        <v>172</v>
      </c>
      <c r="N147" s="18" t="s">
        <v>72</v>
      </c>
      <c r="O147" s="18" t="s">
        <v>72</v>
      </c>
      <c r="P147" s="48" t="s">
        <v>72</v>
      </c>
      <c r="Q147" s="48" t="s">
        <v>72</v>
      </c>
      <c r="R147" s="48" t="s">
        <v>72</v>
      </c>
      <c r="S147" s="28"/>
    </row>
    <row r="148" spans="1:19" x14ac:dyDescent="0.25">
      <c r="A148" s="2">
        <v>0</v>
      </c>
      <c r="B148" s="2" t="s">
        <v>187</v>
      </c>
      <c r="C148" s="2" t="s">
        <v>187</v>
      </c>
      <c r="D148" s="3">
        <v>1</v>
      </c>
      <c r="E148" s="4">
        <f>1000/D148</f>
        <v>1000</v>
      </c>
      <c r="F148" s="32" t="s">
        <v>72</v>
      </c>
      <c r="G148" s="32" t="s">
        <v>72</v>
      </c>
      <c r="H148" s="42">
        <f>1000/I148</f>
        <v>138.66932911778574</v>
      </c>
      <c r="I148" s="43">
        <f>I146</f>
        <v>7.2114000000000003</v>
      </c>
      <c r="J148" s="43">
        <f>J146</f>
        <v>0.92975468817938656</v>
      </c>
      <c r="L148" s="19" t="s">
        <v>172</v>
      </c>
      <c r="M148" s="19" t="s">
        <v>172</v>
      </c>
      <c r="N148" s="18" t="s">
        <v>72</v>
      </c>
      <c r="O148" s="18" t="s">
        <v>72</v>
      </c>
      <c r="P148" s="48" t="s">
        <v>72</v>
      </c>
      <c r="Q148" s="48" t="s">
        <v>72</v>
      </c>
      <c r="R148" s="48" t="s">
        <v>72</v>
      </c>
      <c r="S148" s="28"/>
    </row>
    <row r="149" spans="1:19" x14ac:dyDescent="0.25">
      <c r="A149" s="2">
        <v>0</v>
      </c>
      <c r="B149" s="2" t="s">
        <v>188</v>
      </c>
      <c r="C149" s="2" t="s">
        <v>188</v>
      </c>
      <c r="D149" s="3" t="s">
        <v>72</v>
      </c>
      <c r="E149" s="4" t="s">
        <v>72</v>
      </c>
      <c r="F149" s="32" t="s">
        <v>72</v>
      </c>
      <c r="G149" s="32" t="s">
        <v>72</v>
      </c>
      <c r="H149" s="42" t="s">
        <v>72</v>
      </c>
      <c r="I149" s="43" t="s">
        <v>72</v>
      </c>
      <c r="J149" s="43" t="s">
        <v>72</v>
      </c>
      <c r="L149" s="19" t="s">
        <v>172</v>
      </c>
      <c r="M149" s="19" t="s">
        <v>172</v>
      </c>
      <c r="N149" s="18" t="s">
        <v>72</v>
      </c>
      <c r="O149" s="18" t="s">
        <v>72</v>
      </c>
      <c r="P149" s="48" t="s">
        <v>72</v>
      </c>
      <c r="Q149" s="48" t="s">
        <v>72</v>
      </c>
      <c r="R149" s="48" t="s">
        <v>72</v>
      </c>
      <c r="S149" s="28"/>
    </row>
    <row r="150" spans="1:19" x14ac:dyDescent="0.25">
      <c r="A150" s="2">
        <v>3000</v>
      </c>
      <c r="B150" s="2" t="s">
        <v>178</v>
      </c>
      <c r="C150" s="2" t="s">
        <v>178</v>
      </c>
      <c r="D150" s="3">
        <v>1</v>
      </c>
      <c r="E150" s="4">
        <f>1000/D150</f>
        <v>1000</v>
      </c>
      <c r="F150" s="32" t="s">
        <v>72</v>
      </c>
      <c r="G150" s="32" t="s">
        <v>72</v>
      </c>
      <c r="H150" s="42">
        <f>1000/I150</f>
        <v>115.11056369643042</v>
      </c>
      <c r="I150" s="43">
        <v>8.6873000000000005</v>
      </c>
      <c r="J150" s="43">
        <v>2.4150196263511101</v>
      </c>
      <c r="L150" s="19" t="s">
        <v>172</v>
      </c>
      <c r="M150" s="19" t="s">
        <v>172</v>
      </c>
      <c r="N150" s="18" t="s">
        <v>72</v>
      </c>
      <c r="O150" s="18" t="s">
        <v>72</v>
      </c>
      <c r="P150" s="48" t="s">
        <v>0</v>
      </c>
      <c r="Q150" s="48" t="s">
        <v>191</v>
      </c>
      <c r="R150" s="48" t="str">
        <f>Q150</f>
        <v>CMP11(151960).xlsx \ R(2024.5)</v>
      </c>
      <c r="S150" s="28"/>
    </row>
    <row r="151" spans="1:19" x14ac:dyDescent="0.25">
      <c r="A151" s="2">
        <v>0</v>
      </c>
      <c r="B151" s="2" t="s">
        <v>182</v>
      </c>
      <c r="C151" s="2" t="s">
        <v>182</v>
      </c>
      <c r="D151" s="3" t="s">
        <v>72</v>
      </c>
      <c r="E151" s="4" t="s">
        <v>72</v>
      </c>
      <c r="F151" s="32" t="s">
        <v>72</v>
      </c>
      <c r="G151" s="32" t="s">
        <v>72</v>
      </c>
      <c r="H151" s="42" t="s">
        <v>72</v>
      </c>
      <c r="I151" s="43" t="s">
        <v>72</v>
      </c>
      <c r="J151" s="43" t="s">
        <v>72</v>
      </c>
      <c r="L151" s="19" t="s">
        <v>172</v>
      </c>
      <c r="M151" s="19" t="s">
        <v>172</v>
      </c>
      <c r="N151" s="18" t="s">
        <v>72</v>
      </c>
      <c r="O151" s="18" t="s">
        <v>72</v>
      </c>
      <c r="P151" s="48" t="s">
        <v>72</v>
      </c>
      <c r="Q151" s="48" t="s">
        <v>72</v>
      </c>
      <c r="R151" s="48" t="s">
        <v>72</v>
      </c>
    </row>
    <row r="152" spans="1:19" x14ac:dyDescent="0.25">
      <c r="A152" s="2">
        <v>0</v>
      </c>
      <c r="B152" s="2" t="s">
        <v>183</v>
      </c>
      <c r="C152" s="2" t="s">
        <v>183</v>
      </c>
      <c r="D152" s="3">
        <v>1</v>
      </c>
      <c r="E152" s="4">
        <f>1000/D152</f>
        <v>1000</v>
      </c>
      <c r="F152" s="32" t="s">
        <v>72</v>
      </c>
      <c r="G152" s="32" t="s">
        <v>72</v>
      </c>
      <c r="H152" s="42">
        <f>1000/I152</f>
        <v>115.11056369643042</v>
      </c>
      <c r="I152" s="43">
        <f>I150</f>
        <v>8.6873000000000005</v>
      </c>
      <c r="J152" s="43">
        <f>J150</f>
        <v>2.4150196263511101</v>
      </c>
      <c r="L152" s="19" t="s">
        <v>172</v>
      </c>
      <c r="M152" s="19" t="s">
        <v>172</v>
      </c>
      <c r="N152" s="18" t="s">
        <v>72</v>
      </c>
      <c r="O152" s="18" t="s">
        <v>72</v>
      </c>
      <c r="P152" s="48" t="s">
        <v>72</v>
      </c>
      <c r="Q152" s="48" t="s">
        <v>72</v>
      </c>
      <c r="R152" s="48" t="s">
        <v>72</v>
      </c>
    </row>
    <row r="153" spans="1:19" x14ac:dyDescent="0.25">
      <c r="A153" s="2">
        <v>0</v>
      </c>
      <c r="B153" s="2" t="s">
        <v>184</v>
      </c>
      <c r="C153" s="2" t="s">
        <v>184</v>
      </c>
      <c r="D153" s="3" t="s">
        <v>72</v>
      </c>
      <c r="E153" s="4" t="s">
        <v>72</v>
      </c>
      <c r="F153" s="32" t="s">
        <v>72</v>
      </c>
      <c r="G153" s="32" t="s">
        <v>72</v>
      </c>
      <c r="H153" s="42" t="s">
        <v>72</v>
      </c>
      <c r="I153" s="43" t="s">
        <v>72</v>
      </c>
      <c r="J153" s="43" t="s">
        <v>72</v>
      </c>
      <c r="L153" s="19" t="s">
        <v>172</v>
      </c>
      <c r="M153" s="19" t="s">
        <v>172</v>
      </c>
      <c r="N153" s="18" t="s">
        <v>72</v>
      </c>
      <c r="O153" s="18" t="s">
        <v>72</v>
      </c>
      <c r="P153" s="48" t="s">
        <v>72</v>
      </c>
      <c r="Q153" s="48" t="s">
        <v>72</v>
      </c>
      <c r="R153" s="48" t="s">
        <v>72</v>
      </c>
    </row>
    <row r="154" spans="1:19" x14ac:dyDescent="0.25">
      <c r="A154" s="2">
        <v>0</v>
      </c>
      <c r="B154" s="2" t="s">
        <v>158</v>
      </c>
      <c r="C154" s="2" t="s">
        <v>158</v>
      </c>
      <c r="D154" s="3" t="s">
        <v>72</v>
      </c>
      <c r="E154" s="4" t="s">
        <v>72</v>
      </c>
      <c r="F154" s="32" t="s">
        <v>72</v>
      </c>
      <c r="G154" s="32" t="s">
        <v>72</v>
      </c>
      <c r="H154" s="42" t="s">
        <v>72</v>
      </c>
      <c r="I154" s="43" t="s">
        <v>72</v>
      </c>
      <c r="J154" s="43" t="s">
        <v>72</v>
      </c>
      <c r="L154" s="19" t="s">
        <v>172</v>
      </c>
      <c r="M154" s="19" t="s">
        <v>172</v>
      </c>
      <c r="N154" s="18" t="s">
        <v>72</v>
      </c>
      <c r="O154" s="18" t="s">
        <v>72</v>
      </c>
      <c r="P154" s="48" t="s">
        <v>72</v>
      </c>
      <c r="Q154" s="48" t="s">
        <v>72</v>
      </c>
      <c r="R154" s="48" t="s">
        <v>72</v>
      </c>
      <c r="S154" s="28"/>
    </row>
    <row r="155" spans="1:19" x14ac:dyDescent="0.25">
      <c r="A155" s="2">
        <v>9300</v>
      </c>
      <c r="B155" s="2" t="s">
        <v>32</v>
      </c>
      <c r="C155" s="2" t="s">
        <v>126</v>
      </c>
      <c r="D155" s="3">
        <v>1</v>
      </c>
      <c r="E155" s="4">
        <f>1000/D155</f>
        <v>1000</v>
      </c>
      <c r="F155" s="32" t="s">
        <v>72</v>
      </c>
      <c r="G155" s="32" t="s">
        <v>72</v>
      </c>
      <c r="H155" s="42">
        <v>1</v>
      </c>
      <c r="I155" s="43">
        <v>1000</v>
      </c>
      <c r="J155" s="43">
        <v>1</v>
      </c>
      <c r="L155" s="19" t="s">
        <v>172</v>
      </c>
      <c r="M155" s="19" t="s">
        <v>172</v>
      </c>
      <c r="N155" s="18" t="s">
        <v>72</v>
      </c>
      <c r="O155" s="18" t="s">
        <v>72</v>
      </c>
      <c r="P155" s="48" t="s">
        <v>0</v>
      </c>
      <c r="Q155" s="48" t="s">
        <v>43</v>
      </c>
      <c r="R155" s="43" t="s">
        <v>44</v>
      </c>
    </row>
    <row r="156" spans="1:19" x14ac:dyDescent="0.25">
      <c r="A156" s="2">
        <v>0</v>
      </c>
      <c r="B156" s="2" t="s">
        <v>167</v>
      </c>
      <c r="C156" s="2" t="s">
        <v>167</v>
      </c>
      <c r="D156" s="3" t="s">
        <v>72</v>
      </c>
      <c r="E156" s="4" t="s">
        <v>72</v>
      </c>
      <c r="F156" s="32" t="s">
        <v>72</v>
      </c>
      <c r="G156" s="32" t="s">
        <v>72</v>
      </c>
      <c r="H156" s="42" t="s">
        <v>72</v>
      </c>
      <c r="I156" s="43" t="s">
        <v>72</v>
      </c>
      <c r="J156" s="43" t="s">
        <v>72</v>
      </c>
      <c r="L156" s="19" t="s">
        <v>72</v>
      </c>
      <c r="M156" s="19" t="s">
        <v>72</v>
      </c>
      <c r="N156" s="18" t="s">
        <v>72</v>
      </c>
      <c r="O156" s="18" t="s">
        <v>72</v>
      </c>
      <c r="P156" s="48" t="s">
        <v>72</v>
      </c>
      <c r="Q156" s="48" t="s">
        <v>72</v>
      </c>
      <c r="R156" s="48" t="s">
        <v>72</v>
      </c>
    </row>
    <row r="157" spans="1:19" x14ac:dyDescent="0.25">
      <c r="A157" s="2">
        <v>0</v>
      </c>
      <c r="B157" s="2" t="s">
        <v>159</v>
      </c>
      <c r="C157" s="2" t="s">
        <v>159</v>
      </c>
      <c r="D157" s="3" t="s">
        <v>72</v>
      </c>
      <c r="E157" s="4" t="s">
        <v>72</v>
      </c>
      <c r="F157" s="32" t="s">
        <v>72</v>
      </c>
      <c r="G157" s="32" t="s">
        <v>72</v>
      </c>
      <c r="H157" s="42" t="s">
        <v>72</v>
      </c>
      <c r="I157" s="43" t="s">
        <v>72</v>
      </c>
      <c r="J157" s="43" t="s">
        <v>72</v>
      </c>
      <c r="L157" s="19" t="s">
        <v>72</v>
      </c>
      <c r="M157" s="19" t="s">
        <v>72</v>
      </c>
      <c r="N157" s="18" t="s">
        <v>72</v>
      </c>
      <c r="O157" s="18" t="s">
        <v>72</v>
      </c>
      <c r="P157" s="48" t="s">
        <v>72</v>
      </c>
      <c r="Q157" s="48" t="s">
        <v>72</v>
      </c>
      <c r="R157" s="48" t="s">
        <v>72</v>
      </c>
      <c r="S157" s="28"/>
    </row>
    <row r="158" spans="1:19" x14ac:dyDescent="0.25">
      <c r="A158" s="2">
        <v>0</v>
      </c>
      <c r="B158" s="2" t="s">
        <v>160</v>
      </c>
      <c r="C158" s="2" t="s">
        <v>160</v>
      </c>
      <c r="D158" s="3" t="s">
        <v>72</v>
      </c>
      <c r="E158" s="4" t="s">
        <v>72</v>
      </c>
      <c r="F158" s="32" t="s">
        <v>72</v>
      </c>
      <c r="G158" s="32" t="s">
        <v>72</v>
      </c>
      <c r="H158" s="42" t="s">
        <v>72</v>
      </c>
      <c r="I158" s="43" t="s">
        <v>72</v>
      </c>
      <c r="J158" s="43" t="s">
        <v>72</v>
      </c>
      <c r="L158" s="19" t="s">
        <v>72</v>
      </c>
      <c r="M158" s="19" t="s">
        <v>72</v>
      </c>
      <c r="N158" s="18" t="s">
        <v>72</v>
      </c>
      <c r="O158" s="18" t="s">
        <v>72</v>
      </c>
      <c r="P158" s="48" t="s">
        <v>72</v>
      </c>
      <c r="Q158" s="48" t="s">
        <v>72</v>
      </c>
      <c r="R158" s="48" t="s">
        <v>72</v>
      </c>
    </row>
    <row r="159" spans="1:19" x14ac:dyDescent="0.25">
      <c r="A159" s="2">
        <v>0</v>
      </c>
      <c r="B159" s="2" t="s">
        <v>192</v>
      </c>
      <c r="C159" s="2" t="s">
        <v>192</v>
      </c>
      <c r="D159" s="3" t="s">
        <v>72</v>
      </c>
      <c r="E159" s="4" t="s">
        <v>72</v>
      </c>
      <c r="F159" s="32" t="s">
        <v>72</v>
      </c>
      <c r="G159" s="32" t="s">
        <v>72</v>
      </c>
      <c r="H159" s="42" t="s">
        <v>72</v>
      </c>
      <c r="I159" s="43" t="s">
        <v>72</v>
      </c>
      <c r="J159" s="43" t="s">
        <v>72</v>
      </c>
      <c r="L159" s="19" t="s">
        <v>72</v>
      </c>
      <c r="M159" s="19" t="s">
        <v>72</v>
      </c>
      <c r="N159" s="18" t="s">
        <v>72</v>
      </c>
      <c r="O159" s="18" t="s">
        <v>72</v>
      </c>
      <c r="P159" s="48" t="s">
        <v>72</v>
      </c>
      <c r="Q159" s="48" t="s">
        <v>72</v>
      </c>
      <c r="R159" s="48" t="s">
        <v>72</v>
      </c>
    </row>
    <row r="160" spans="1:19" x14ac:dyDescent="0.25">
      <c r="A160" s="2">
        <v>0</v>
      </c>
      <c r="B160" s="2" t="s">
        <v>193</v>
      </c>
      <c r="C160" s="2" t="s">
        <v>193</v>
      </c>
      <c r="D160" s="3" t="s">
        <v>72</v>
      </c>
      <c r="E160" s="4" t="s">
        <v>72</v>
      </c>
      <c r="F160" s="32" t="s">
        <v>72</v>
      </c>
      <c r="G160" s="32" t="s">
        <v>72</v>
      </c>
      <c r="H160" s="42" t="s">
        <v>72</v>
      </c>
      <c r="I160" s="43" t="s">
        <v>72</v>
      </c>
      <c r="J160" s="43" t="s">
        <v>72</v>
      </c>
      <c r="L160" s="19" t="s">
        <v>72</v>
      </c>
      <c r="M160" s="19" t="s">
        <v>72</v>
      </c>
      <c r="N160" s="18" t="s">
        <v>72</v>
      </c>
      <c r="O160" s="18" t="s">
        <v>72</v>
      </c>
      <c r="P160" s="48" t="s">
        <v>72</v>
      </c>
      <c r="Q160" s="48" t="s">
        <v>72</v>
      </c>
      <c r="R160" s="48" t="s">
        <v>72</v>
      </c>
    </row>
    <row r="161" spans="1:19" x14ac:dyDescent="0.25">
      <c r="A161" s="2" t="s">
        <v>2</v>
      </c>
    </row>
    <row r="162" spans="1:19" x14ac:dyDescent="0.25">
      <c r="A162" s="10">
        <f>IF(LEN(C162)=17,LEFT(C162,4)+(B162-1)/(DATE(LEFT(C162,4)+1,1,1)-DATE(LEFT(C162,4),1,1)),"BAD DATE FORMAT")</f>
        <v>2025.5808238203958</v>
      </c>
      <c r="B162" s="11">
        <f>DATE(LEFT(C162,4),RIGHT(LEFT(C162,7),2),RIGHT(LEFT(C162,10),2))-DATE(LEFT(C162,4),1,1)+1+(RIGHT(LEFT(C162,14),2)*60+RIGHT(C162,2))/1440</f>
        <v>213.00069444444443</v>
      </c>
      <c r="C162" t="s">
        <v>194</v>
      </c>
      <c r="L162" s="19"/>
      <c r="M162" s="19"/>
      <c r="N162" s="18"/>
      <c r="O162" s="18"/>
      <c r="P162" s="48"/>
      <c r="Q162" s="48"/>
    </row>
    <row r="163" spans="1:19" x14ac:dyDescent="0.25">
      <c r="A163" s="2">
        <v>0</v>
      </c>
      <c r="B163" s="2" t="s">
        <v>156</v>
      </c>
      <c r="C163" s="2" t="s">
        <v>156</v>
      </c>
      <c r="D163" s="3" t="s">
        <v>72</v>
      </c>
      <c r="E163" s="4" t="s">
        <v>72</v>
      </c>
      <c r="F163" s="32" t="s">
        <v>72</v>
      </c>
      <c r="G163" s="32" t="s">
        <v>72</v>
      </c>
      <c r="H163" s="43" t="str">
        <f t="shared" ref="H163:H185" si="4">D163</f>
        <v>NA</v>
      </c>
      <c r="I163" s="43" t="str">
        <f t="shared" ref="I163:I185" si="5">E163</f>
        <v>NA</v>
      </c>
      <c r="J163" s="43" t="s">
        <v>72</v>
      </c>
      <c r="L163" s="4" t="s">
        <v>197</v>
      </c>
      <c r="M163" s="19" t="s">
        <v>24</v>
      </c>
      <c r="N163" s="32" t="s">
        <v>72</v>
      </c>
      <c r="O163" s="32" t="s">
        <v>72</v>
      </c>
      <c r="P163" s="43" t="str">
        <f t="shared" ref="P163:P185" si="6">L163</f>
        <v>STW_2025-08-15.cr1</v>
      </c>
      <c r="Q163" s="43" t="str">
        <f t="shared" ref="Q163:Q185" si="7">M163</f>
        <v>R = 1000/M</v>
      </c>
      <c r="R163" s="48" t="s">
        <v>72</v>
      </c>
    </row>
    <row r="164" spans="1:19" x14ac:dyDescent="0.25">
      <c r="A164" s="2">
        <v>0</v>
      </c>
      <c r="B164" s="2" t="s">
        <v>157</v>
      </c>
      <c r="C164" s="2" t="s">
        <v>157</v>
      </c>
      <c r="D164" s="3" t="s">
        <v>72</v>
      </c>
      <c r="E164" s="4" t="s">
        <v>72</v>
      </c>
      <c r="F164" s="32" t="s">
        <v>72</v>
      </c>
      <c r="G164" s="32" t="s">
        <v>72</v>
      </c>
      <c r="H164" s="43" t="str">
        <f t="shared" si="4"/>
        <v>NA</v>
      </c>
      <c r="I164" s="43" t="str">
        <f t="shared" si="5"/>
        <v>NA</v>
      </c>
      <c r="J164" s="43" t="s">
        <v>72</v>
      </c>
      <c r="L164" s="4" t="str">
        <f t="shared" ref="L164:L183" si="8">L163</f>
        <v>STW_2025-08-15.cr1</v>
      </c>
      <c r="M164" s="19" t="s">
        <v>24</v>
      </c>
      <c r="N164" s="32" t="s">
        <v>72</v>
      </c>
      <c r="O164" s="32" t="s">
        <v>72</v>
      </c>
      <c r="P164" s="43" t="str">
        <f t="shared" si="6"/>
        <v>STW_2025-08-15.cr1</v>
      </c>
      <c r="Q164" s="43" t="str">
        <f t="shared" si="7"/>
        <v>R = 1000/M</v>
      </c>
      <c r="R164" s="48" t="s">
        <v>72</v>
      </c>
    </row>
    <row r="165" spans="1:19" x14ac:dyDescent="0.25">
      <c r="A165" s="2">
        <v>0</v>
      </c>
      <c r="B165" s="2" t="str">
        <f>B166&amp;"_mV"</f>
        <v>CMP11(128907)_mV</v>
      </c>
      <c r="C165" s="2" t="str">
        <f>C166&amp;"_mV"</f>
        <v>GHI_CMP11(128907)_mV</v>
      </c>
      <c r="D165" s="3" t="s">
        <v>72</v>
      </c>
      <c r="E165" s="4" t="s">
        <v>72</v>
      </c>
      <c r="F165" s="32" t="s">
        <v>72</v>
      </c>
      <c r="G165" s="32" t="s">
        <v>72</v>
      </c>
      <c r="H165" s="43" t="str">
        <f t="shared" si="4"/>
        <v>NA</v>
      </c>
      <c r="I165" s="43" t="str">
        <f t="shared" si="5"/>
        <v>NA</v>
      </c>
      <c r="J165" s="43" t="s">
        <v>72</v>
      </c>
      <c r="L165" s="4" t="str">
        <f t="shared" si="8"/>
        <v>STW_2025-08-15.cr1</v>
      </c>
      <c r="M165" s="19" t="s">
        <v>24</v>
      </c>
      <c r="N165" s="32" t="s">
        <v>72</v>
      </c>
      <c r="O165" s="32" t="s">
        <v>72</v>
      </c>
      <c r="P165" s="43" t="str">
        <f t="shared" si="6"/>
        <v>STW_2025-08-15.cr1</v>
      </c>
      <c r="Q165" s="43" t="str">
        <f t="shared" si="7"/>
        <v>R = 1000/M</v>
      </c>
      <c r="R165" s="48" t="s">
        <v>72</v>
      </c>
      <c r="S165" s="28"/>
    </row>
    <row r="166" spans="1:19" x14ac:dyDescent="0.25">
      <c r="A166" s="25">
        <v>1000</v>
      </c>
      <c r="B166" s="25" t="s">
        <v>198</v>
      </c>
      <c r="C166" s="2" t="str">
        <f>"GHI_" &amp;B166</f>
        <v>GHI_CMP11(128907)</v>
      </c>
      <c r="D166" s="3">
        <f>H166</f>
        <v>113.62216086625536</v>
      </c>
      <c r="E166" s="4">
        <f>I166</f>
        <v>8.8010999999999999</v>
      </c>
      <c r="F166" s="32" t="s">
        <v>72</v>
      </c>
      <c r="G166" s="32" t="s">
        <v>72</v>
      </c>
      <c r="H166" s="43">
        <f>1000/I166</f>
        <v>113.62216086625536</v>
      </c>
      <c r="I166" s="25">
        <v>8.8010999999999999</v>
      </c>
      <c r="J166" s="25">
        <v>1.7168308506891186</v>
      </c>
      <c r="L166" s="4" t="str">
        <f t="shared" si="8"/>
        <v>STW_2025-08-15.cr1</v>
      </c>
      <c r="M166" s="19" t="s">
        <v>24</v>
      </c>
      <c r="N166" s="32" t="s">
        <v>72</v>
      </c>
      <c r="O166" s="32" t="s">
        <v>72</v>
      </c>
      <c r="P166" s="43" t="str">
        <f t="shared" si="6"/>
        <v>STW_2025-08-15.cr1</v>
      </c>
      <c r="Q166" s="43" t="str">
        <f t="shared" si="7"/>
        <v>R = 1000/M</v>
      </c>
      <c r="R166" s="41" t="s">
        <v>196</v>
      </c>
      <c r="S166" s="28"/>
    </row>
    <row r="167" spans="1:19" x14ac:dyDescent="0.25">
      <c r="A167" s="2">
        <v>0</v>
      </c>
      <c r="B167" s="2" t="str">
        <f>B166&amp;"_mV_Stdev"</f>
        <v>CMP11(128907)_mV_Stdev</v>
      </c>
      <c r="C167" s="2" t="str">
        <f>C166&amp;"_mV_Stdev"</f>
        <v>GHI_CMP11(128907)_mV_Stdev</v>
      </c>
      <c r="D167" s="3" t="s">
        <v>72</v>
      </c>
      <c r="E167" s="4" t="s">
        <v>72</v>
      </c>
      <c r="F167" s="32" t="s">
        <v>72</v>
      </c>
      <c r="G167" s="32" t="s">
        <v>72</v>
      </c>
      <c r="H167" s="43" t="str">
        <f t="shared" si="4"/>
        <v>NA</v>
      </c>
      <c r="I167" s="43" t="str">
        <f t="shared" si="5"/>
        <v>NA</v>
      </c>
      <c r="J167" s="43" t="s">
        <v>72</v>
      </c>
      <c r="L167" s="4" t="str">
        <f t="shared" si="8"/>
        <v>STW_2025-08-15.cr1</v>
      </c>
      <c r="M167" s="19" t="s">
        <v>24</v>
      </c>
      <c r="N167" s="32" t="s">
        <v>72</v>
      </c>
      <c r="O167" s="32" t="s">
        <v>72</v>
      </c>
      <c r="P167" s="43" t="str">
        <f t="shared" si="6"/>
        <v>STW_2025-08-15.cr1</v>
      </c>
      <c r="Q167" s="43" t="str">
        <f t="shared" si="7"/>
        <v>R = 1000/M</v>
      </c>
      <c r="R167" s="48" t="s">
        <v>72</v>
      </c>
      <c r="S167" s="28"/>
    </row>
    <row r="168" spans="1:19" x14ac:dyDescent="0.25">
      <c r="A168" s="2">
        <v>0</v>
      </c>
      <c r="B168" s="2" t="str">
        <f>B166&amp;"_Irr_Stdev"</f>
        <v>CMP11(128907)_Irr_Stdev</v>
      </c>
      <c r="C168" s="2" t="str">
        <f>C166&amp;"_Irr_Stdev"</f>
        <v>GHI_CMP11(128907)_Irr_Stdev</v>
      </c>
      <c r="D168" s="3" t="s">
        <v>72</v>
      </c>
      <c r="E168" s="4" t="s">
        <v>72</v>
      </c>
      <c r="F168" s="32" t="s">
        <v>72</v>
      </c>
      <c r="G168" s="32" t="s">
        <v>72</v>
      </c>
      <c r="H168" s="43" t="str">
        <f t="shared" si="4"/>
        <v>NA</v>
      </c>
      <c r="I168" s="43" t="str">
        <f t="shared" si="5"/>
        <v>NA</v>
      </c>
      <c r="J168" s="43" t="s">
        <v>72</v>
      </c>
      <c r="L168" s="4" t="str">
        <f t="shared" si="8"/>
        <v>STW_2025-08-15.cr1</v>
      </c>
      <c r="M168" s="19" t="s">
        <v>24</v>
      </c>
      <c r="N168" s="32" t="s">
        <v>72</v>
      </c>
      <c r="O168" s="32" t="s">
        <v>72</v>
      </c>
      <c r="P168" s="43" t="str">
        <f t="shared" si="6"/>
        <v>STW_2025-08-15.cr1</v>
      </c>
      <c r="Q168" s="43" t="str">
        <f t="shared" si="7"/>
        <v>R = 1000/M</v>
      </c>
      <c r="R168" s="48" t="s">
        <v>72</v>
      </c>
      <c r="S168" s="28"/>
    </row>
    <row r="169" spans="1:19" x14ac:dyDescent="0.25">
      <c r="A169" s="2">
        <v>0</v>
      </c>
      <c r="B169" s="2" t="str">
        <f>B170&amp;"_mV"</f>
        <v>NIP(17009E6)_mV</v>
      </c>
      <c r="C169" s="2" t="str">
        <f>C170&amp;"_mV"</f>
        <v>DNI_NIP(17009E6)_mV</v>
      </c>
      <c r="D169" s="3" t="s">
        <v>72</v>
      </c>
      <c r="E169" s="4" t="s">
        <v>72</v>
      </c>
      <c r="F169" s="32" t="s">
        <v>72</v>
      </c>
      <c r="G169" s="32" t="s">
        <v>72</v>
      </c>
      <c r="H169" s="43" t="str">
        <f t="shared" si="4"/>
        <v>NA</v>
      </c>
      <c r="I169" s="43" t="str">
        <f t="shared" si="5"/>
        <v>NA</v>
      </c>
      <c r="J169" s="43" t="s">
        <v>72</v>
      </c>
      <c r="L169" s="4" t="str">
        <f t="shared" si="8"/>
        <v>STW_2025-08-15.cr1</v>
      </c>
      <c r="M169" s="19" t="s">
        <v>24</v>
      </c>
      <c r="N169" s="32" t="s">
        <v>72</v>
      </c>
      <c r="O169" s="32" t="s">
        <v>72</v>
      </c>
      <c r="P169" s="43" t="str">
        <f t="shared" si="6"/>
        <v>STW_2025-08-15.cr1</v>
      </c>
      <c r="Q169" s="43" t="str">
        <f t="shared" si="7"/>
        <v>R = 1000/M</v>
      </c>
      <c r="R169" s="48" t="s">
        <v>72</v>
      </c>
      <c r="S169" s="28"/>
    </row>
    <row r="170" spans="1:19" x14ac:dyDescent="0.25">
      <c r="A170" s="25">
        <v>2010</v>
      </c>
      <c r="B170" s="25" t="s">
        <v>36</v>
      </c>
      <c r="C170" s="2" t="str">
        <f>"DNI_" &amp;B170</f>
        <v>DNI_NIP(17009E6)</v>
      </c>
      <c r="D170" s="3">
        <f>H170</f>
        <v>119.33601441579054</v>
      </c>
      <c r="E170" s="4">
        <f>I170</f>
        <v>8.3796999999999997</v>
      </c>
      <c r="F170" s="32" t="s">
        <v>72</v>
      </c>
      <c r="G170" s="32" t="s">
        <v>72</v>
      </c>
      <c r="H170" s="43">
        <f>1000/I170</f>
        <v>119.33601441579054</v>
      </c>
      <c r="I170" s="25">
        <v>8.3796999999999997</v>
      </c>
      <c r="J170" s="25">
        <v>1.0501569268589568</v>
      </c>
      <c r="L170" s="4" t="str">
        <f t="shared" si="8"/>
        <v>STW_2025-08-15.cr1</v>
      </c>
      <c r="M170" s="19" t="s">
        <v>24</v>
      </c>
      <c r="N170" s="32" t="s">
        <v>72</v>
      </c>
      <c r="O170" s="32" t="s">
        <v>72</v>
      </c>
      <c r="P170" s="43" t="str">
        <f t="shared" si="6"/>
        <v>STW_2025-08-15.cr1</v>
      </c>
      <c r="Q170" s="43" t="str">
        <f t="shared" si="7"/>
        <v>R = 1000/M</v>
      </c>
      <c r="R170" s="41" t="s">
        <v>196</v>
      </c>
      <c r="S170" s="28"/>
    </row>
    <row r="171" spans="1:19" x14ac:dyDescent="0.25">
      <c r="A171" s="2">
        <v>0</v>
      </c>
      <c r="B171" s="2" t="str">
        <f>B170&amp;"_mV_Stdev"</f>
        <v>NIP(17009E6)_mV_Stdev</v>
      </c>
      <c r="C171" s="2" t="str">
        <f>C170&amp;"_mV_Stdev"</f>
        <v>DNI_NIP(17009E6)_mV_Stdev</v>
      </c>
      <c r="D171" s="3" t="s">
        <v>72</v>
      </c>
      <c r="E171" s="4" t="s">
        <v>72</v>
      </c>
      <c r="F171" s="32" t="s">
        <v>72</v>
      </c>
      <c r="G171" s="32" t="s">
        <v>72</v>
      </c>
      <c r="H171" s="43" t="str">
        <f t="shared" si="4"/>
        <v>NA</v>
      </c>
      <c r="I171" s="43" t="str">
        <f t="shared" si="5"/>
        <v>NA</v>
      </c>
      <c r="J171" s="43" t="s">
        <v>72</v>
      </c>
      <c r="L171" s="4" t="str">
        <f t="shared" si="8"/>
        <v>STW_2025-08-15.cr1</v>
      </c>
      <c r="M171" s="19" t="s">
        <v>24</v>
      </c>
      <c r="N171" s="32" t="s">
        <v>72</v>
      </c>
      <c r="O171" s="32" t="s">
        <v>72</v>
      </c>
      <c r="P171" s="43" t="str">
        <f t="shared" si="6"/>
        <v>STW_2025-08-15.cr1</v>
      </c>
      <c r="Q171" s="43" t="str">
        <f t="shared" si="7"/>
        <v>R = 1000/M</v>
      </c>
      <c r="R171" s="48" t="s">
        <v>72</v>
      </c>
      <c r="S171" s="28"/>
    </row>
    <row r="172" spans="1:19" x14ac:dyDescent="0.25">
      <c r="A172" s="2">
        <v>0</v>
      </c>
      <c r="B172" s="2" t="str">
        <f>B170&amp;"_Irr_Stdev"</f>
        <v>NIP(17009E6)_Irr_Stdev</v>
      </c>
      <c r="C172" s="2" t="str">
        <f>C170&amp;"_Irr_Stdev"</f>
        <v>DNI_NIP(17009E6)_Irr_Stdev</v>
      </c>
      <c r="D172" s="3" t="s">
        <v>72</v>
      </c>
      <c r="E172" s="4" t="s">
        <v>72</v>
      </c>
      <c r="F172" s="32" t="s">
        <v>72</v>
      </c>
      <c r="G172" s="32" t="s">
        <v>72</v>
      </c>
      <c r="H172" s="43" t="str">
        <f t="shared" si="4"/>
        <v>NA</v>
      </c>
      <c r="I172" s="43" t="str">
        <f t="shared" si="5"/>
        <v>NA</v>
      </c>
      <c r="J172" s="43" t="s">
        <v>72</v>
      </c>
      <c r="L172" s="4" t="str">
        <f t="shared" si="8"/>
        <v>STW_2025-08-15.cr1</v>
      </c>
      <c r="M172" s="19" t="s">
        <v>24</v>
      </c>
      <c r="N172" s="32" t="s">
        <v>72</v>
      </c>
      <c r="O172" s="32" t="s">
        <v>72</v>
      </c>
      <c r="P172" s="43" t="str">
        <f t="shared" si="6"/>
        <v>STW_2025-08-15.cr1</v>
      </c>
      <c r="Q172" s="43" t="str">
        <f t="shared" si="7"/>
        <v>R = 1000/M</v>
      </c>
      <c r="R172" s="48" t="s">
        <v>72</v>
      </c>
      <c r="S172" s="28"/>
    </row>
    <row r="173" spans="1:19" x14ac:dyDescent="0.25">
      <c r="A173" s="2">
        <v>0</v>
      </c>
      <c r="B173" s="2" t="str">
        <f>B174&amp;"_mV"</f>
        <v>CMP11(128906)_mV</v>
      </c>
      <c r="C173" s="2" t="str">
        <f>C174&amp;"_mV"</f>
        <v>DHI_CMP11(128906)_mV</v>
      </c>
      <c r="D173" s="3" t="s">
        <v>72</v>
      </c>
      <c r="E173" s="4" t="s">
        <v>72</v>
      </c>
      <c r="F173" s="32" t="s">
        <v>72</v>
      </c>
      <c r="G173" s="32" t="s">
        <v>72</v>
      </c>
      <c r="H173" s="43" t="str">
        <f t="shared" si="4"/>
        <v>NA</v>
      </c>
      <c r="I173" s="43" t="str">
        <f t="shared" si="5"/>
        <v>NA</v>
      </c>
      <c r="J173" s="43" t="s">
        <v>72</v>
      </c>
      <c r="L173" s="4" t="str">
        <f t="shared" si="8"/>
        <v>STW_2025-08-15.cr1</v>
      </c>
      <c r="M173" s="19" t="s">
        <v>24</v>
      </c>
      <c r="N173" s="32" t="s">
        <v>72</v>
      </c>
      <c r="O173" s="32" t="s">
        <v>72</v>
      </c>
      <c r="P173" s="43" t="str">
        <f t="shared" si="6"/>
        <v>STW_2025-08-15.cr1</v>
      </c>
      <c r="Q173" s="43" t="str">
        <f t="shared" si="7"/>
        <v>R = 1000/M</v>
      </c>
      <c r="R173" s="48" t="s">
        <v>72</v>
      </c>
      <c r="S173" s="28"/>
    </row>
    <row r="174" spans="1:19" x14ac:dyDescent="0.25">
      <c r="A174" s="25">
        <v>3000</v>
      </c>
      <c r="B174" s="25" t="s">
        <v>199</v>
      </c>
      <c r="C174" s="2" t="str">
        <f>"DHI_" &amp;B174</f>
        <v>DHI_CMP11(128906)</v>
      </c>
      <c r="D174" s="3">
        <f>H174</f>
        <v>121.28268568379177</v>
      </c>
      <c r="E174" s="4">
        <f>I174</f>
        <v>8.2452000000000005</v>
      </c>
      <c r="F174" s="32" t="s">
        <v>72</v>
      </c>
      <c r="G174" s="32" t="s">
        <v>72</v>
      </c>
      <c r="H174" s="43">
        <f>1000/I174</f>
        <v>121.28268568379177</v>
      </c>
      <c r="I174" s="25">
        <v>8.2452000000000005</v>
      </c>
      <c r="J174" s="25">
        <v>0.94600494833357585</v>
      </c>
      <c r="L174" s="4" t="str">
        <f t="shared" si="8"/>
        <v>STW_2025-08-15.cr1</v>
      </c>
      <c r="M174" s="19" t="s">
        <v>24</v>
      </c>
      <c r="N174" s="32" t="s">
        <v>72</v>
      </c>
      <c r="O174" s="32" t="s">
        <v>72</v>
      </c>
      <c r="P174" s="43" t="str">
        <f t="shared" si="6"/>
        <v>STW_2025-08-15.cr1</v>
      </c>
      <c r="Q174" s="43" t="str">
        <f t="shared" si="7"/>
        <v>R = 1000/M</v>
      </c>
      <c r="R174" s="41" t="s">
        <v>196</v>
      </c>
    </row>
    <row r="175" spans="1:19" x14ac:dyDescent="0.25">
      <c r="A175" s="2">
        <v>0</v>
      </c>
      <c r="B175" s="2" t="str">
        <f>B174&amp;"_mV_Stdev"</f>
        <v>CMP11(128906)_mV_Stdev</v>
      </c>
      <c r="C175" s="2" t="str">
        <f>C174&amp;"_mV_Stdev"</f>
        <v>DHI_CMP11(128906)_mV_Stdev</v>
      </c>
      <c r="D175" s="3" t="s">
        <v>72</v>
      </c>
      <c r="E175" s="4" t="s">
        <v>72</v>
      </c>
      <c r="F175" s="32" t="s">
        <v>72</v>
      </c>
      <c r="G175" s="32" t="s">
        <v>72</v>
      </c>
      <c r="H175" s="43" t="str">
        <f t="shared" si="4"/>
        <v>NA</v>
      </c>
      <c r="I175" s="43" t="str">
        <f t="shared" si="5"/>
        <v>NA</v>
      </c>
      <c r="J175" s="43" t="s">
        <v>72</v>
      </c>
      <c r="L175" s="4" t="str">
        <f t="shared" si="8"/>
        <v>STW_2025-08-15.cr1</v>
      </c>
      <c r="M175" s="19" t="s">
        <v>24</v>
      </c>
      <c r="N175" s="32" t="s">
        <v>72</v>
      </c>
      <c r="O175" s="32" t="s">
        <v>72</v>
      </c>
      <c r="P175" s="43" t="str">
        <f t="shared" si="6"/>
        <v>STW_2025-08-15.cr1</v>
      </c>
      <c r="Q175" s="43" t="str">
        <f t="shared" si="7"/>
        <v>R = 1000/M</v>
      </c>
      <c r="R175" s="48" t="s">
        <v>72</v>
      </c>
    </row>
    <row r="176" spans="1:19" x14ac:dyDescent="0.25">
      <c r="A176" s="2">
        <v>0</v>
      </c>
      <c r="B176" s="2" t="str">
        <f>B174&amp;"_Irr_Stdev"</f>
        <v>CMP11(128906)_Irr_Stdev</v>
      </c>
      <c r="C176" s="2" t="str">
        <f>C174&amp;"_Irr_Stdev"</f>
        <v>DHI_CMP11(128906)_Irr_Stdev</v>
      </c>
      <c r="D176" s="3" t="s">
        <v>72</v>
      </c>
      <c r="E176" s="4" t="s">
        <v>72</v>
      </c>
      <c r="F176" s="32" t="s">
        <v>72</v>
      </c>
      <c r="G176" s="32" t="s">
        <v>72</v>
      </c>
      <c r="H176" s="43" t="str">
        <f t="shared" si="4"/>
        <v>NA</v>
      </c>
      <c r="I176" s="43" t="str">
        <f t="shared" si="5"/>
        <v>NA</v>
      </c>
      <c r="J176" s="43" t="s">
        <v>72</v>
      </c>
      <c r="L176" s="4" t="str">
        <f t="shared" si="8"/>
        <v>STW_2025-08-15.cr1</v>
      </c>
      <c r="M176" s="19" t="s">
        <v>24</v>
      </c>
      <c r="N176" s="32" t="s">
        <v>72</v>
      </c>
      <c r="O176" s="32" t="s">
        <v>72</v>
      </c>
      <c r="P176" s="43" t="str">
        <f t="shared" si="6"/>
        <v>STW_2025-08-15.cr1</v>
      </c>
      <c r="Q176" s="43" t="str">
        <f t="shared" si="7"/>
        <v>R = 1000/M</v>
      </c>
      <c r="R176" s="48" t="s">
        <v>72</v>
      </c>
    </row>
    <row r="177" spans="1:19" x14ac:dyDescent="0.25">
      <c r="A177" s="2">
        <v>0</v>
      </c>
      <c r="B177" s="2" t="s">
        <v>158</v>
      </c>
      <c r="C177" s="2" t="s">
        <v>158</v>
      </c>
      <c r="D177" s="3" t="s">
        <v>72</v>
      </c>
      <c r="E177" s="4" t="s">
        <v>72</v>
      </c>
      <c r="F177" s="32" t="s">
        <v>72</v>
      </c>
      <c r="G177" s="32" t="s">
        <v>72</v>
      </c>
      <c r="H177" s="43" t="str">
        <f t="shared" si="4"/>
        <v>NA</v>
      </c>
      <c r="I177" s="43" t="str">
        <f t="shared" si="5"/>
        <v>NA</v>
      </c>
      <c r="J177" s="43" t="s">
        <v>72</v>
      </c>
      <c r="L177" s="4" t="str">
        <f t="shared" si="8"/>
        <v>STW_2025-08-15.cr1</v>
      </c>
      <c r="M177" s="19" t="s">
        <v>24</v>
      </c>
      <c r="N177" s="32" t="s">
        <v>72</v>
      </c>
      <c r="O177" s="32" t="s">
        <v>72</v>
      </c>
      <c r="P177" s="43" t="str">
        <f t="shared" si="6"/>
        <v>STW_2025-08-15.cr1</v>
      </c>
      <c r="Q177" s="43" t="str">
        <f t="shared" si="7"/>
        <v>R = 1000/M</v>
      </c>
      <c r="R177" s="48" t="s">
        <v>72</v>
      </c>
      <c r="S177" s="28"/>
    </row>
    <row r="178" spans="1:19" x14ac:dyDescent="0.25">
      <c r="A178" s="2">
        <v>9300</v>
      </c>
      <c r="B178" s="2" t="s">
        <v>32</v>
      </c>
      <c r="C178" s="2" t="s">
        <v>126</v>
      </c>
      <c r="D178" s="3">
        <v>1</v>
      </c>
      <c r="E178" s="4">
        <f>1000/D178</f>
        <v>1000</v>
      </c>
      <c r="F178" s="32" t="s">
        <v>72</v>
      </c>
      <c r="G178" s="32" t="s">
        <v>72</v>
      </c>
      <c r="H178" s="43">
        <f t="shared" si="4"/>
        <v>1</v>
      </c>
      <c r="I178" s="43">
        <f t="shared" si="5"/>
        <v>1000</v>
      </c>
      <c r="J178" s="43">
        <v>1</v>
      </c>
      <c r="L178" s="4" t="str">
        <f t="shared" si="8"/>
        <v>STW_2025-08-15.cr1</v>
      </c>
      <c r="M178" s="19" t="s">
        <v>24</v>
      </c>
      <c r="N178" s="32" t="s">
        <v>72</v>
      </c>
      <c r="O178" s="32" t="s">
        <v>72</v>
      </c>
      <c r="P178" s="43" t="str">
        <f t="shared" si="6"/>
        <v>STW_2025-08-15.cr1</v>
      </c>
      <c r="Q178" s="43" t="str">
        <f t="shared" si="7"/>
        <v>R = 1000/M</v>
      </c>
      <c r="R178" s="43" t="s">
        <v>44</v>
      </c>
    </row>
    <row r="179" spans="1:19" x14ac:dyDescent="0.25">
      <c r="A179" s="2">
        <v>0</v>
      </c>
      <c r="B179" s="2" t="s">
        <v>167</v>
      </c>
      <c r="C179" s="2" t="s">
        <v>167</v>
      </c>
      <c r="D179" s="3" t="s">
        <v>72</v>
      </c>
      <c r="E179" s="4" t="s">
        <v>72</v>
      </c>
      <c r="F179" s="32" t="s">
        <v>72</v>
      </c>
      <c r="G179" s="32" t="s">
        <v>72</v>
      </c>
      <c r="H179" s="43" t="str">
        <f t="shared" si="4"/>
        <v>NA</v>
      </c>
      <c r="I179" s="43" t="str">
        <f t="shared" si="5"/>
        <v>NA</v>
      </c>
      <c r="J179" s="43" t="s">
        <v>72</v>
      </c>
      <c r="L179" s="4" t="str">
        <f t="shared" si="8"/>
        <v>STW_2025-08-15.cr1</v>
      </c>
      <c r="M179" s="19" t="s">
        <v>24</v>
      </c>
      <c r="N179" s="32" t="s">
        <v>72</v>
      </c>
      <c r="O179" s="32" t="s">
        <v>72</v>
      </c>
      <c r="P179" s="43" t="str">
        <f t="shared" si="6"/>
        <v>STW_2025-08-15.cr1</v>
      </c>
      <c r="Q179" s="43" t="str">
        <f t="shared" si="7"/>
        <v>R = 1000/M</v>
      </c>
      <c r="R179" s="48" t="s">
        <v>72</v>
      </c>
    </row>
    <row r="180" spans="1:19" x14ac:dyDescent="0.25">
      <c r="A180" s="2">
        <v>0</v>
      </c>
      <c r="B180" s="2" t="s">
        <v>159</v>
      </c>
      <c r="C180" s="2" t="s">
        <v>159</v>
      </c>
      <c r="D180" s="3" t="s">
        <v>72</v>
      </c>
      <c r="E180" s="4" t="s">
        <v>72</v>
      </c>
      <c r="F180" s="32" t="s">
        <v>72</v>
      </c>
      <c r="G180" s="32" t="s">
        <v>72</v>
      </c>
      <c r="H180" s="43" t="str">
        <f t="shared" si="4"/>
        <v>NA</v>
      </c>
      <c r="I180" s="43" t="str">
        <f t="shared" si="5"/>
        <v>NA</v>
      </c>
      <c r="J180" s="43" t="s">
        <v>72</v>
      </c>
      <c r="L180" s="4" t="str">
        <f t="shared" si="8"/>
        <v>STW_2025-08-15.cr1</v>
      </c>
      <c r="M180" s="19" t="s">
        <v>24</v>
      </c>
      <c r="N180" s="32" t="s">
        <v>72</v>
      </c>
      <c r="O180" s="32" t="s">
        <v>72</v>
      </c>
      <c r="P180" s="43" t="str">
        <f t="shared" si="6"/>
        <v>STW_2025-08-15.cr1</v>
      </c>
      <c r="Q180" s="43" t="str">
        <f t="shared" si="7"/>
        <v>R = 1000/M</v>
      </c>
      <c r="R180" s="48" t="s">
        <v>72</v>
      </c>
      <c r="S180" s="28"/>
    </row>
    <row r="181" spans="1:19" x14ac:dyDescent="0.25">
      <c r="A181" s="2">
        <v>0</v>
      </c>
      <c r="B181" s="2" t="s">
        <v>160</v>
      </c>
      <c r="C181" s="2" t="s">
        <v>160</v>
      </c>
      <c r="D181" s="3" t="s">
        <v>72</v>
      </c>
      <c r="E181" s="4" t="s">
        <v>72</v>
      </c>
      <c r="F181" s="32" t="s">
        <v>72</v>
      </c>
      <c r="G181" s="32" t="s">
        <v>72</v>
      </c>
      <c r="H181" s="43" t="str">
        <f t="shared" si="4"/>
        <v>NA</v>
      </c>
      <c r="I181" s="43" t="str">
        <f t="shared" si="5"/>
        <v>NA</v>
      </c>
      <c r="J181" s="43" t="s">
        <v>72</v>
      </c>
      <c r="L181" s="4" t="str">
        <f t="shared" si="8"/>
        <v>STW_2025-08-15.cr1</v>
      </c>
      <c r="M181" s="19" t="s">
        <v>24</v>
      </c>
      <c r="N181" s="32" t="s">
        <v>72</v>
      </c>
      <c r="O181" s="32" t="s">
        <v>72</v>
      </c>
      <c r="P181" s="43" t="str">
        <f t="shared" si="6"/>
        <v>STW_2025-08-15.cr1</v>
      </c>
      <c r="Q181" s="43" t="str">
        <f t="shared" si="7"/>
        <v>R = 1000/M</v>
      </c>
      <c r="R181" s="48" t="s">
        <v>72</v>
      </c>
    </row>
    <row r="182" spans="1:19" x14ac:dyDescent="0.25">
      <c r="A182" s="2">
        <v>0</v>
      </c>
      <c r="B182" s="2" t="s">
        <v>192</v>
      </c>
      <c r="C182" s="2" t="s">
        <v>192</v>
      </c>
      <c r="D182" s="3" t="s">
        <v>72</v>
      </c>
      <c r="E182" s="4" t="s">
        <v>72</v>
      </c>
      <c r="F182" s="32" t="s">
        <v>72</v>
      </c>
      <c r="G182" s="32" t="s">
        <v>72</v>
      </c>
      <c r="H182" s="43" t="str">
        <f t="shared" si="4"/>
        <v>NA</v>
      </c>
      <c r="I182" s="43" t="str">
        <f t="shared" si="5"/>
        <v>NA</v>
      </c>
      <c r="J182" s="43" t="s">
        <v>72</v>
      </c>
      <c r="L182" s="4" t="str">
        <f t="shared" si="8"/>
        <v>STW_2025-08-15.cr1</v>
      </c>
      <c r="M182" s="19" t="s">
        <v>24</v>
      </c>
      <c r="N182" s="32" t="s">
        <v>72</v>
      </c>
      <c r="O182" s="32" t="s">
        <v>72</v>
      </c>
      <c r="P182" s="43" t="str">
        <f t="shared" si="6"/>
        <v>STW_2025-08-15.cr1</v>
      </c>
      <c r="Q182" s="43" t="str">
        <f t="shared" si="7"/>
        <v>R = 1000/M</v>
      </c>
      <c r="R182" s="48" t="s">
        <v>72</v>
      </c>
    </row>
    <row r="183" spans="1:19" x14ac:dyDescent="0.25">
      <c r="A183" s="2">
        <v>0</v>
      </c>
      <c r="B183" s="2" t="s">
        <v>193</v>
      </c>
      <c r="C183" s="2" t="s">
        <v>193</v>
      </c>
      <c r="D183" s="3" t="s">
        <v>72</v>
      </c>
      <c r="E183" s="4" t="s">
        <v>72</v>
      </c>
      <c r="F183" s="32" t="s">
        <v>72</v>
      </c>
      <c r="G183" s="32" t="s">
        <v>72</v>
      </c>
      <c r="H183" s="43" t="str">
        <f t="shared" si="4"/>
        <v>NA</v>
      </c>
      <c r="I183" s="43" t="str">
        <f t="shared" si="5"/>
        <v>NA</v>
      </c>
      <c r="J183" s="43" t="s">
        <v>72</v>
      </c>
      <c r="L183" s="4" t="str">
        <f t="shared" si="8"/>
        <v>STW_2025-08-15.cr1</v>
      </c>
      <c r="M183" s="19" t="s">
        <v>24</v>
      </c>
      <c r="N183" s="32" t="s">
        <v>72</v>
      </c>
      <c r="O183" s="32" t="s">
        <v>72</v>
      </c>
      <c r="P183" s="43" t="str">
        <f t="shared" si="6"/>
        <v>STW_2025-08-15.cr1</v>
      </c>
      <c r="Q183" s="43" t="str">
        <f t="shared" si="7"/>
        <v>R = 1000/M</v>
      </c>
      <c r="R183" s="48" t="s">
        <v>72</v>
      </c>
    </row>
    <row r="184" spans="1:19" x14ac:dyDescent="0.25">
      <c r="A184" s="25">
        <v>0</v>
      </c>
      <c r="B184" s="25" t="s">
        <v>195</v>
      </c>
      <c r="C184" s="25" t="s">
        <v>195</v>
      </c>
      <c r="D184" s="37">
        <v>1</v>
      </c>
      <c r="E184" s="25">
        <v>1000</v>
      </c>
      <c r="F184" s="25" t="s">
        <v>72</v>
      </c>
      <c r="G184" s="25" t="s">
        <v>72</v>
      </c>
      <c r="H184" s="43">
        <f t="shared" ref="H184" si="9">D184</f>
        <v>1</v>
      </c>
      <c r="I184" s="43">
        <f t="shared" ref="I184" si="10">E184</f>
        <v>1000</v>
      </c>
      <c r="J184" s="25">
        <v>1</v>
      </c>
      <c r="K184" s="34"/>
      <c r="L184" s="4" t="str">
        <f>L182</f>
        <v>STW_2025-08-15.cr1</v>
      </c>
      <c r="M184" s="19" t="s">
        <v>24</v>
      </c>
      <c r="N184" s="32" t="s">
        <v>72</v>
      </c>
      <c r="O184" s="32" t="s">
        <v>72</v>
      </c>
      <c r="P184" s="43" t="str">
        <f t="shared" ref="P184" si="11">L184</f>
        <v>STW_2025-08-15.cr1</v>
      </c>
      <c r="Q184" s="43" t="str">
        <f t="shared" ref="Q184" si="12">M184</f>
        <v>R = 1000/M</v>
      </c>
    </row>
    <row r="185" spans="1:19" x14ac:dyDescent="0.25">
      <c r="A185" s="25">
        <v>0</v>
      </c>
      <c r="B185" s="25" t="s">
        <v>195</v>
      </c>
      <c r="C185" s="25" t="s">
        <v>195</v>
      </c>
      <c r="D185" s="37">
        <v>1</v>
      </c>
      <c r="E185" s="25">
        <v>1000</v>
      </c>
      <c r="F185" s="25" t="s">
        <v>72</v>
      </c>
      <c r="G185" s="25" t="s">
        <v>72</v>
      </c>
      <c r="H185" s="43">
        <f t="shared" si="4"/>
        <v>1</v>
      </c>
      <c r="I185" s="43">
        <f t="shared" si="5"/>
        <v>1000</v>
      </c>
      <c r="J185" s="25">
        <v>1</v>
      </c>
      <c r="K185" s="34"/>
      <c r="L185" s="4" t="str">
        <f>L183</f>
        <v>STW_2025-08-15.cr1</v>
      </c>
      <c r="M185" s="19" t="s">
        <v>24</v>
      </c>
      <c r="N185" s="32" t="s">
        <v>72</v>
      </c>
      <c r="O185" s="32" t="s">
        <v>72</v>
      </c>
      <c r="P185" s="43" t="str">
        <f t="shared" si="6"/>
        <v>STW_2025-08-15.cr1</v>
      </c>
      <c r="Q185" s="43" t="str">
        <f t="shared" si="7"/>
        <v>R = 1000/M</v>
      </c>
    </row>
  </sheetData>
  <mergeCells count="3">
    <mergeCell ref="D1:E1"/>
    <mergeCell ref="H1:I1"/>
    <mergeCell ref="F1:G1"/>
  </mergeCells>
  <phoneticPr fontId="20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E66C-33D7-49A1-8DF7-7981795B80E7}">
  <dimension ref="A1:P147"/>
  <sheetViews>
    <sheetView workbookViewId="0">
      <selection activeCell="H45" sqref="H45"/>
    </sheetView>
  </sheetViews>
  <sheetFormatPr defaultColWidth="8.85546875" defaultRowHeight="15" x14ac:dyDescent="0.25"/>
  <cols>
    <col min="8" max="8" width="29.140625" bestFit="1" customWidth="1"/>
    <col min="9" max="9" width="25.42578125" bestFit="1" customWidth="1"/>
    <col min="10" max="10" width="16.140625" bestFit="1" customWidth="1"/>
    <col min="11" max="11" width="10.28515625" bestFit="1" customWidth="1"/>
    <col min="13" max="13" width="14.7109375" bestFit="1" customWidth="1"/>
    <col min="14" max="14" width="13.42578125" bestFit="1" customWidth="1"/>
    <col min="15" max="15" width="15.42578125" bestFit="1" customWidth="1"/>
    <col min="16" max="16" width="13.7109375" bestFit="1" customWidth="1"/>
    <col min="18" max="18" width="14.7109375" bestFit="1" customWidth="1"/>
    <col min="19" max="19" width="13.42578125" bestFit="1" customWidth="1"/>
    <col min="20" max="20" width="15.42578125" bestFit="1" customWidth="1"/>
  </cols>
  <sheetData>
    <row r="1" spans="1:16" x14ac:dyDescent="0.25">
      <c r="A1" t="s">
        <v>200</v>
      </c>
      <c r="B1" s="49" t="s">
        <v>201</v>
      </c>
      <c r="C1" s="50" t="s">
        <v>202</v>
      </c>
      <c r="D1" s="50" t="s">
        <v>203</v>
      </c>
      <c r="E1" s="50" t="s">
        <v>204</v>
      </c>
      <c r="F1" s="50" t="s">
        <v>205</v>
      </c>
      <c r="G1" s="50" t="s">
        <v>206</v>
      </c>
      <c r="H1" s="50" t="s">
        <v>207</v>
      </c>
      <c r="I1" s="50" t="s">
        <v>208</v>
      </c>
      <c r="J1" s="50" t="s">
        <v>209</v>
      </c>
      <c r="K1" s="50" t="s">
        <v>239</v>
      </c>
      <c r="L1" s="50" t="s">
        <v>210</v>
      </c>
      <c r="M1" s="50" t="s">
        <v>211</v>
      </c>
      <c r="N1" s="55" t="s">
        <v>245</v>
      </c>
      <c r="O1" s="55" t="s">
        <v>246</v>
      </c>
      <c r="P1" s="51" t="s">
        <v>212</v>
      </c>
    </row>
    <row r="2" spans="1:16" x14ac:dyDescent="0.25">
      <c r="A2">
        <v>122</v>
      </c>
      <c r="B2">
        <v>2025</v>
      </c>
      <c r="C2">
        <v>8</v>
      </c>
      <c r="D2">
        <v>1</v>
      </c>
      <c r="E2">
        <v>0</v>
      </c>
      <c r="F2">
        <v>1</v>
      </c>
      <c r="G2">
        <v>1</v>
      </c>
      <c r="H2" t="s">
        <v>222</v>
      </c>
      <c r="I2" t="s">
        <v>223</v>
      </c>
    </row>
    <row r="3" spans="1:16" x14ac:dyDescent="0.25">
      <c r="A3">
        <v>123</v>
      </c>
      <c r="B3">
        <v>2025</v>
      </c>
      <c r="C3">
        <v>8</v>
      </c>
      <c r="D3">
        <v>1</v>
      </c>
      <c r="E3">
        <v>0</v>
      </c>
      <c r="F3">
        <v>1</v>
      </c>
      <c r="G3">
        <v>2</v>
      </c>
      <c r="H3" t="s">
        <v>224</v>
      </c>
      <c r="I3" t="s">
        <v>223</v>
      </c>
    </row>
    <row r="4" spans="1:16" x14ac:dyDescent="0.25">
      <c r="A4">
        <v>124</v>
      </c>
      <c r="B4">
        <v>2025</v>
      </c>
      <c r="C4">
        <v>8</v>
      </c>
      <c r="D4">
        <v>1</v>
      </c>
      <c r="E4">
        <v>0</v>
      </c>
      <c r="F4">
        <v>1</v>
      </c>
      <c r="G4">
        <v>3</v>
      </c>
      <c r="H4" t="s">
        <v>213</v>
      </c>
      <c r="I4" t="s">
        <v>214</v>
      </c>
      <c r="J4">
        <v>128907</v>
      </c>
      <c r="K4" t="s">
        <v>215</v>
      </c>
    </row>
    <row r="5" spans="1:16" x14ac:dyDescent="0.25">
      <c r="A5">
        <v>125</v>
      </c>
      <c r="B5">
        <v>2025</v>
      </c>
      <c r="C5">
        <v>8</v>
      </c>
      <c r="D5">
        <v>1</v>
      </c>
      <c r="E5">
        <v>0</v>
      </c>
      <c r="F5">
        <v>1</v>
      </c>
      <c r="G5">
        <v>4</v>
      </c>
      <c r="H5" t="s">
        <v>213</v>
      </c>
      <c r="I5" t="s">
        <v>214</v>
      </c>
      <c r="J5">
        <v>128907</v>
      </c>
      <c r="L5">
        <v>8.8010999999999999</v>
      </c>
      <c r="M5">
        <v>8.8010999999999999</v>
      </c>
      <c r="N5">
        <v>113.622160866255</v>
      </c>
      <c r="O5">
        <v>113.622160866255</v>
      </c>
      <c r="P5">
        <v>1.7168308506891199</v>
      </c>
    </row>
    <row r="6" spans="1:16" x14ac:dyDescent="0.25">
      <c r="A6">
        <v>126</v>
      </c>
      <c r="B6">
        <v>2025</v>
      </c>
      <c r="C6">
        <v>8</v>
      </c>
      <c r="D6">
        <v>1</v>
      </c>
      <c r="E6">
        <v>0</v>
      </c>
      <c r="F6">
        <v>1</v>
      </c>
      <c r="G6">
        <v>5</v>
      </c>
      <c r="H6" t="s">
        <v>213</v>
      </c>
      <c r="I6" t="s">
        <v>214</v>
      </c>
      <c r="J6">
        <v>128907</v>
      </c>
      <c r="K6" t="s">
        <v>240</v>
      </c>
    </row>
    <row r="7" spans="1:16" x14ac:dyDescent="0.25">
      <c r="A7">
        <v>127</v>
      </c>
      <c r="B7">
        <v>2025</v>
      </c>
      <c r="C7">
        <v>8</v>
      </c>
      <c r="D7">
        <v>1</v>
      </c>
      <c r="E7">
        <v>0</v>
      </c>
      <c r="F7">
        <v>1</v>
      </c>
      <c r="G7">
        <v>6</v>
      </c>
      <c r="H7" t="s">
        <v>213</v>
      </c>
      <c r="I7" t="s">
        <v>214</v>
      </c>
      <c r="J7">
        <v>128907</v>
      </c>
      <c r="K7" t="s">
        <v>241</v>
      </c>
    </row>
    <row r="8" spans="1:16" x14ac:dyDescent="0.25">
      <c r="A8">
        <v>128</v>
      </c>
      <c r="B8">
        <v>2025</v>
      </c>
      <c r="C8">
        <v>8</v>
      </c>
      <c r="D8">
        <v>1</v>
      </c>
      <c r="E8">
        <v>0</v>
      </c>
      <c r="F8">
        <v>1</v>
      </c>
      <c r="G8">
        <v>7</v>
      </c>
      <c r="H8" t="s">
        <v>225</v>
      </c>
      <c r="I8" t="s">
        <v>247</v>
      </c>
      <c r="J8" t="s">
        <v>220</v>
      </c>
      <c r="K8" t="s">
        <v>215</v>
      </c>
    </row>
    <row r="9" spans="1:16" x14ac:dyDescent="0.25">
      <c r="A9">
        <v>129</v>
      </c>
      <c r="B9">
        <v>2025</v>
      </c>
      <c r="C9">
        <v>8</v>
      </c>
      <c r="D9">
        <v>1</v>
      </c>
      <c r="E9">
        <v>0</v>
      </c>
      <c r="F9">
        <v>1</v>
      </c>
      <c r="G9">
        <v>8</v>
      </c>
      <c r="H9" t="s">
        <v>225</v>
      </c>
      <c r="I9" t="s">
        <v>247</v>
      </c>
      <c r="J9" t="s">
        <v>220</v>
      </c>
      <c r="L9">
        <v>8.3796999999999997</v>
      </c>
      <c r="M9">
        <v>8.3796999999999997</v>
      </c>
      <c r="N9">
        <v>119.336014415791</v>
      </c>
      <c r="O9">
        <v>119.336014415791</v>
      </c>
      <c r="P9">
        <v>1.0501569268589599</v>
      </c>
    </row>
    <row r="10" spans="1:16" x14ac:dyDescent="0.25">
      <c r="A10">
        <v>130</v>
      </c>
      <c r="B10">
        <v>2025</v>
      </c>
      <c r="C10">
        <v>8</v>
      </c>
      <c r="D10">
        <v>1</v>
      </c>
      <c r="E10">
        <v>0</v>
      </c>
      <c r="F10">
        <v>1</v>
      </c>
      <c r="G10">
        <v>9</v>
      </c>
      <c r="H10" t="s">
        <v>225</v>
      </c>
      <c r="I10" t="s">
        <v>247</v>
      </c>
      <c r="J10" t="s">
        <v>220</v>
      </c>
      <c r="K10" t="s">
        <v>240</v>
      </c>
    </row>
    <row r="11" spans="1:16" x14ac:dyDescent="0.25">
      <c r="A11">
        <v>131</v>
      </c>
      <c r="B11">
        <v>2025</v>
      </c>
      <c r="C11">
        <v>8</v>
      </c>
      <c r="D11">
        <v>1</v>
      </c>
      <c r="E11">
        <v>0</v>
      </c>
      <c r="F11">
        <v>1</v>
      </c>
      <c r="G11">
        <v>10</v>
      </c>
      <c r="H11" t="s">
        <v>225</v>
      </c>
      <c r="I11" t="s">
        <v>247</v>
      </c>
      <c r="J11" t="s">
        <v>220</v>
      </c>
      <c r="K11" t="s">
        <v>241</v>
      </c>
    </row>
    <row r="12" spans="1:16" x14ac:dyDescent="0.25">
      <c r="A12">
        <v>132</v>
      </c>
      <c r="B12">
        <v>2025</v>
      </c>
      <c r="C12">
        <v>8</v>
      </c>
      <c r="D12">
        <v>1</v>
      </c>
      <c r="E12">
        <v>0</v>
      </c>
      <c r="F12">
        <v>1</v>
      </c>
      <c r="G12">
        <v>11</v>
      </c>
      <c r="H12" t="s">
        <v>226</v>
      </c>
      <c r="I12" t="s">
        <v>214</v>
      </c>
      <c r="J12">
        <v>128906</v>
      </c>
      <c r="K12" t="s">
        <v>215</v>
      </c>
    </row>
    <row r="13" spans="1:16" x14ac:dyDescent="0.25">
      <c r="A13">
        <v>133</v>
      </c>
      <c r="B13">
        <v>2025</v>
      </c>
      <c r="C13">
        <v>8</v>
      </c>
      <c r="D13">
        <v>1</v>
      </c>
      <c r="E13">
        <v>0</v>
      </c>
      <c r="F13">
        <v>1</v>
      </c>
      <c r="G13">
        <v>12</v>
      </c>
      <c r="H13" t="s">
        <v>226</v>
      </c>
      <c r="I13" t="s">
        <v>214</v>
      </c>
      <c r="J13">
        <v>128906</v>
      </c>
      <c r="L13">
        <v>8.2452000000000005</v>
      </c>
      <c r="M13">
        <v>8.2452000000000005</v>
      </c>
      <c r="N13">
        <v>121.282685683792</v>
      </c>
      <c r="O13">
        <v>121.282685683792</v>
      </c>
      <c r="P13">
        <v>0.94600494833357596</v>
      </c>
    </row>
    <row r="14" spans="1:16" x14ac:dyDescent="0.25">
      <c r="A14">
        <v>134</v>
      </c>
      <c r="B14">
        <v>2025</v>
      </c>
      <c r="C14">
        <v>8</v>
      </c>
      <c r="D14">
        <v>1</v>
      </c>
      <c r="E14">
        <v>0</v>
      </c>
      <c r="F14">
        <v>1</v>
      </c>
      <c r="G14">
        <v>13</v>
      </c>
      <c r="H14" t="s">
        <v>226</v>
      </c>
      <c r="I14" t="s">
        <v>214</v>
      </c>
      <c r="J14">
        <v>128906</v>
      </c>
      <c r="K14" t="s">
        <v>240</v>
      </c>
    </row>
    <row r="15" spans="1:16" x14ac:dyDescent="0.25">
      <c r="A15">
        <v>135</v>
      </c>
      <c r="B15">
        <v>2025</v>
      </c>
      <c r="C15">
        <v>8</v>
      </c>
      <c r="D15">
        <v>1</v>
      </c>
      <c r="E15">
        <v>0</v>
      </c>
      <c r="F15">
        <v>1</v>
      </c>
      <c r="G15">
        <v>14</v>
      </c>
      <c r="H15" t="s">
        <v>226</v>
      </c>
      <c r="I15" t="s">
        <v>214</v>
      </c>
      <c r="J15">
        <v>128906</v>
      </c>
      <c r="K15" t="s">
        <v>241</v>
      </c>
    </row>
    <row r="16" spans="1:16" x14ac:dyDescent="0.25">
      <c r="A16">
        <v>136</v>
      </c>
      <c r="B16">
        <v>2025</v>
      </c>
      <c r="C16">
        <v>8</v>
      </c>
      <c r="D16">
        <v>1</v>
      </c>
      <c r="E16">
        <v>0</v>
      </c>
      <c r="F16">
        <v>1</v>
      </c>
      <c r="G16">
        <v>15</v>
      </c>
      <c r="H16" t="s">
        <v>213</v>
      </c>
      <c r="I16" t="s">
        <v>227</v>
      </c>
    </row>
    <row r="17" spans="1:16" x14ac:dyDescent="0.25">
      <c r="A17">
        <v>137</v>
      </c>
      <c r="B17">
        <v>2025</v>
      </c>
      <c r="C17">
        <v>8</v>
      </c>
      <c r="D17">
        <v>1</v>
      </c>
      <c r="E17">
        <v>0</v>
      </c>
      <c r="F17">
        <v>1</v>
      </c>
      <c r="G17">
        <v>16</v>
      </c>
      <c r="H17" t="s">
        <v>228</v>
      </c>
      <c r="I17" t="s">
        <v>21</v>
      </c>
      <c r="J17" t="s">
        <v>21</v>
      </c>
      <c r="L17">
        <v>1000</v>
      </c>
      <c r="M17">
        <v>1000</v>
      </c>
      <c r="N17">
        <v>1</v>
      </c>
      <c r="O17">
        <v>1</v>
      </c>
      <c r="P17">
        <v>1</v>
      </c>
    </row>
    <row r="18" spans="1:16" x14ac:dyDescent="0.25">
      <c r="A18">
        <v>138</v>
      </c>
      <c r="B18">
        <v>2025</v>
      </c>
      <c r="C18">
        <v>8</v>
      </c>
      <c r="D18">
        <v>1</v>
      </c>
      <c r="E18">
        <v>0</v>
      </c>
      <c r="F18">
        <v>1</v>
      </c>
      <c r="G18">
        <v>17</v>
      </c>
      <c r="I18" t="s">
        <v>167</v>
      </c>
    </row>
    <row r="19" spans="1:16" x14ac:dyDescent="0.25">
      <c r="A19">
        <v>139</v>
      </c>
      <c r="B19">
        <v>2025</v>
      </c>
      <c r="C19">
        <v>8</v>
      </c>
      <c r="D19">
        <v>1</v>
      </c>
      <c r="E19">
        <v>0</v>
      </c>
      <c r="F19">
        <v>1</v>
      </c>
      <c r="G19">
        <v>18</v>
      </c>
      <c r="I19" t="s">
        <v>159</v>
      </c>
    </row>
    <row r="20" spans="1:16" x14ac:dyDescent="0.25">
      <c r="A20">
        <v>140</v>
      </c>
      <c r="B20">
        <v>2025</v>
      </c>
      <c r="C20">
        <v>8</v>
      </c>
      <c r="D20">
        <v>1</v>
      </c>
      <c r="E20">
        <v>0</v>
      </c>
      <c r="F20">
        <v>1</v>
      </c>
      <c r="G20">
        <v>19</v>
      </c>
      <c r="I20" t="s">
        <v>160</v>
      </c>
    </row>
    <row r="21" spans="1:16" x14ac:dyDescent="0.25">
      <c r="A21">
        <v>141</v>
      </c>
      <c r="B21">
        <v>2025</v>
      </c>
      <c r="C21">
        <v>8</v>
      </c>
      <c r="D21">
        <v>1</v>
      </c>
      <c r="E21">
        <v>0</v>
      </c>
      <c r="F21">
        <v>1</v>
      </c>
      <c r="G21">
        <v>20</v>
      </c>
      <c r="H21" t="s">
        <v>213</v>
      </c>
      <c r="I21" t="s">
        <v>229</v>
      </c>
    </row>
    <row r="22" spans="1:16" x14ac:dyDescent="0.25">
      <c r="A22">
        <v>142</v>
      </c>
      <c r="B22">
        <v>2025</v>
      </c>
      <c r="C22">
        <v>8</v>
      </c>
      <c r="D22">
        <v>1</v>
      </c>
      <c r="E22">
        <v>0</v>
      </c>
      <c r="F22">
        <v>1</v>
      </c>
      <c r="G22">
        <v>21</v>
      </c>
      <c r="H22" t="s">
        <v>226</v>
      </c>
      <c r="I22" t="s">
        <v>229</v>
      </c>
    </row>
    <row r="23" spans="1:16" x14ac:dyDescent="0.25">
      <c r="A23">
        <v>143</v>
      </c>
      <c r="B23">
        <v>2025</v>
      </c>
      <c r="C23">
        <v>8</v>
      </c>
      <c r="D23">
        <v>1</v>
      </c>
      <c r="E23">
        <v>0</v>
      </c>
      <c r="F23">
        <v>1</v>
      </c>
      <c r="G23">
        <v>22</v>
      </c>
      <c r="I23" t="s">
        <v>195</v>
      </c>
      <c r="L23">
        <v>1000</v>
      </c>
      <c r="M23">
        <v>1000</v>
      </c>
      <c r="N23">
        <v>1</v>
      </c>
      <c r="O23">
        <v>1</v>
      </c>
      <c r="P23">
        <v>1</v>
      </c>
    </row>
    <row r="24" spans="1:16" x14ac:dyDescent="0.25">
      <c r="A24">
        <v>144</v>
      </c>
      <c r="B24">
        <v>2025</v>
      </c>
      <c r="C24">
        <v>8</v>
      </c>
      <c r="D24">
        <v>1</v>
      </c>
      <c r="E24">
        <v>0</v>
      </c>
      <c r="F24">
        <v>1</v>
      </c>
      <c r="G24">
        <v>23</v>
      </c>
      <c r="I24" t="s">
        <v>195</v>
      </c>
      <c r="L24">
        <v>1000</v>
      </c>
      <c r="M24">
        <v>1000</v>
      </c>
      <c r="N24">
        <v>1</v>
      </c>
      <c r="O24">
        <v>1</v>
      </c>
      <c r="P24">
        <v>1</v>
      </c>
    </row>
    <row r="25" spans="1:16" x14ac:dyDescent="0.25">
      <c r="A25">
        <v>78</v>
      </c>
      <c r="B25">
        <v>2024</v>
      </c>
      <c r="C25">
        <v>2</v>
      </c>
      <c r="D25">
        <v>1</v>
      </c>
      <c r="E25">
        <v>0</v>
      </c>
      <c r="F25">
        <v>1</v>
      </c>
      <c r="G25">
        <v>1</v>
      </c>
      <c r="H25" t="s">
        <v>222</v>
      </c>
      <c r="I25" t="s">
        <v>223</v>
      </c>
    </row>
    <row r="26" spans="1:16" x14ac:dyDescent="0.25">
      <c r="A26">
        <v>79</v>
      </c>
      <c r="B26">
        <v>2024</v>
      </c>
      <c r="C26">
        <v>2</v>
      </c>
      <c r="D26">
        <v>1</v>
      </c>
      <c r="E26">
        <v>0</v>
      </c>
      <c r="F26">
        <v>1</v>
      </c>
      <c r="G26">
        <v>2</v>
      </c>
      <c r="H26" t="s">
        <v>224</v>
      </c>
      <c r="I26" t="s">
        <v>223</v>
      </c>
    </row>
    <row r="27" spans="1:16" x14ac:dyDescent="0.25">
      <c r="A27">
        <v>80</v>
      </c>
      <c r="B27">
        <v>2024</v>
      </c>
      <c r="C27">
        <v>2</v>
      </c>
      <c r="D27">
        <v>1</v>
      </c>
      <c r="E27">
        <v>0</v>
      </c>
      <c r="F27">
        <v>1</v>
      </c>
      <c r="G27">
        <v>3</v>
      </c>
      <c r="H27" t="s">
        <v>213</v>
      </c>
      <c r="I27" t="s">
        <v>248</v>
      </c>
      <c r="J27">
        <v>4764</v>
      </c>
      <c r="L27">
        <v>1000</v>
      </c>
      <c r="M27">
        <v>16.613499999999998</v>
      </c>
      <c r="N27">
        <v>1</v>
      </c>
      <c r="O27">
        <v>60.192012519938601</v>
      </c>
      <c r="P27">
        <v>1.2587336487582701</v>
      </c>
    </row>
    <row r="28" spans="1:16" x14ac:dyDescent="0.25">
      <c r="A28">
        <v>81</v>
      </c>
      <c r="B28">
        <v>2024</v>
      </c>
      <c r="C28">
        <v>2</v>
      </c>
      <c r="D28">
        <v>1</v>
      </c>
      <c r="E28">
        <v>0</v>
      </c>
      <c r="F28">
        <v>1</v>
      </c>
      <c r="G28">
        <v>4</v>
      </c>
      <c r="H28" t="s">
        <v>213</v>
      </c>
      <c r="I28" t="s">
        <v>248</v>
      </c>
      <c r="J28">
        <v>4764</v>
      </c>
      <c r="K28" t="s">
        <v>242</v>
      </c>
    </row>
    <row r="29" spans="1:16" x14ac:dyDescent="0.25">
      <c r="A29">
        <v>82</v>
      </c>
      <c r="B29">
        <v>2024</v>
      </c>
      <c r="C29">
        <v>2</v>
      </c>
      <c r="D29">
        <v>1</v>
      </c>
      <c r="E29">
        <v>0</v>
      </c>
      <c r="F29">
        <v>1</v>
      </c>
      <c r="G29">
        <v>5</v>
      </c>
      <c r="H29" t="s">
        <v>213</v>
      </c>
      <c r="I29" t="s">
        <v>248</v>
      </c>
      <c r="J29">
        <v>4764</v>
      </c>
      <c r="K29" t="s">
        <v>238</v>
      </c>
      <c r="L29">
        <v>1000</v>
      </c>
      <c r="M29">
        <v>16.613499999999998</v>
      </c>
      <c r="N29">
        <v>1</v>
      </c>
      <c r="O29">
        <v>60.192012519938601</v>
      </c>
      <c r="P29">
        <v>1.2587336487582701</v>
      </c>
    </row>
    <row r="30" spans="1:16" x14ac:dyDescent="0.25">
      <c r="A30">
        <v>83</v>
      </c>
      <c r="B30">
        <v>2024</v>
      </c>
      <c r="C30">
        <v>2</v>
      </c>
      <c r="D30">
        <v>1</v>
      </c>
      <c r="E30">
        <v>0</v>
      </c>
      <c r="F30">
        <v>1</v>
      </c>
      <c r="G30">
        <v>6</v>
      </c>
      <c r="H30" t="s">
        <v>213</v>
      </c>
      <c r="I30" t="s">
        <v>248</v>
      </c>
      <c r="J30">
        <v>4764</v>
      </c>
      <c r="K30" t="s">
        <v>241</v>
      </c>
    </row>
    <row r="31" spans="1:16" x14ac:dyDescent="0.25">
      <c r="A31">
        <v>84</v>
      </c>
      <c r="B31">
        <v>2024</v>
      </c>
      <c r="C31">
        <v>2</v>
      </c>
      <c r="D31">
        <v>1</v>
      </c>
      <c r="E31">
        <v>0</v>
      </c>
      <c r="F31">
        <v>1</v>
      </c>
      <c r="G31">
        <v>7</v>
      </c>
      <c r="H31" t="s">
        <v>225</v>
      </c>
      <c r="I31" t="s">
        <v>37</v>
      </c>
      <c r="J31" s="54" t="s">
        <v>220</v>
      </c>
      <c r="L31">
        <v>1000</v>
      </c>
      <c r="M31">
        <v>8.3575999999999997</v>
      </c>
      <c r="N31">
        <v>1</v>
      </c>
      <c r="O31">
        <v>119.65157461472199</v>
      </c>
      <c r="P31">
        <v>1.8811551773110999</v>
      </c>
    </row>
    <row r="32" spans="1:16" x14ac:dyDescent="0.25">
      <c r="A32">
        <v>85</v>
      </c>
      <c r="B32">
        <v>2024</v>
      </c>
      <c r="C32">
        <v>2</v>
      </c>
      <c r="D32">
        <v>1</v>
      </c>
      <c r="E32">
        <v>0</v>
      </c>
      <c r="F32">
        <v>1</v>
      </c>
      <c r="G32">
        <v>8</v>
      </c>
      <c r="H32" t="s">
        <v>225</v>
      </c>
      <c r="I32" t="s">
        <v>37</v>
      </c>
      <c r="J32" s="54" t="s">
        <v>220</v>
      </c>
      <c r="K32" t="s">
        <v>242</v>
      </c>
    </row>
    <row r="33" spans="1:16" x14ac:dyDescent="0.25">
      <c r="A33">
        <v>86</v>
      </c>
      <c r="B33">
        <v>2024</v>
      </c>
      <c r="C33">
        <v>2</v>
      </c>
      <c r="D33">
        <v>1</v>
      </c>
      <c r="E33">
        <v>0</v>
      </c>
      <c r="F33">
        <v>1</v>
      </c>
      <c r="G33">
        <v>9</v>
      </c>
      <c r="H33" t="s">
        <v>225</v>
      </c>
      <c r="I33" t="s">
        <v>37</v>
      </c>
      <c r="J33" s="54" t="s">
        <v>220</v>
      </c>
      <c r="K33" t="s">
        <v>238</v>
      </c>
      <c r="L33">
        <v>1000</v>
      </c>
      <c r="M33">
        <v>8.3575999999999997</v>
      </c>
      <c r="N33">
        <v>1</v>
      </c>
      <c r="O33">
        <v>119.65157461472199</v>
      </c>
      <c r="P33">
        <v>1.8811551773110999</v>
      </c>
    </row>
    <row r="34" spans="1:16" x14ac:dyDescent="0.25">
      <c r="A34">
        <v>87</v>
      </c>
      <c r="B34">
        <v>2024</v>
      </c>
      <c r="C34">
        <v>2</v>
      </c>
      <c r="D34">
        <v>1</v>
      </c>
      <c r="E34">
        <v>0</v>
      </c>
      <c r="F34">
        <v>1</v>
      </c>
      <c r="G34">
        <v>10</v>
      </c>
      <c r="H34" t="s">
        <v>225</v>
      </c>
      <c r="I34" t="s">
        <v>37</v>
      </c>
      <c r="J34" s="54" t="s">
        <v>220</v>
      </c>
      <c r="K34" t="s">
        <v>241</v>
      </c>
    </row>
    <row r="35" spans="1:16" x14ac:dyDescent="0.25">
      <c r="A35">
        <v>88</v>
      </c>
      <c r="B35">
        <v>2024</v>
      </c>
      <c r="C35">
        <v>2</v>
      </c>
      <c r="D35">
        <v>1</v>
      </c>
      <c r="E35">
        <v>0</v>
      </c>
      <c r="F35">
        <v>1</v>
      </c>
      <c r="G35">
        <v>11</v>
      </c>
      <c r="H35" t="s">
        <v>226</v>
      </c>
      <c r="I35" t="s">
        <v>248</v>
      </c>
      <c r="J35">
        <v>5218</v>
      </c>
      <c r="L35">
        <v>1000</v>
      </c>
      <c r="M35">
        <v>13.308199999999999</v>
      </c>
      <c r="N35">
        <v>1</v>
      </c>
      <c r="O35">
        <v>75.141641995160896</v>
      </c>
      <c r="P35">
        <v>1.2914628942617901</v>
      </c>
    </row>
    <row r="36" spans="1:16" x14ac:dyDescent="0.25">
      <c r="A36">
        <v>89</v>
      </c>
      <c r="B36">
        <v>2024</v>
      </c>
      <c r="C36">
        <v>2</v>
      </c>
      <c r="D36">
        <v>1</v>
      </c>
      <c r="E36">
        <v>0</v>
      </c>
      <c r="F36">
        <v>1</v>
      </c>
      <c r="G36">
        <v>12</v>
      </c>
      <c r="H36" t="s">
        <v>226</v>
      </c>
      <c r="I36" t="s">
        <v>248</v>
      </c>
      <c r="J36">
        <v>5218</v>
      </c>
      <c r="K36" t="s">
        <v>242</v>
      </c>
    </row>
    <row r="37" spans="1:16" x14ac:dyDescent="0.25">
      <c r="A37">
        <v>90</v>
      </c>
      <c r="B37">
        <v>2024</v>
      </c>
      <c r="C37">
        <v>2</v>
      </c>
      <c r="D37">
        <v>1</v>
      </c>
      <c r="E37">
        <v>0</v>
      </c>
      <c r="F37">
        <v>1</v>
      </c>
      <c r="G37">
        <v>13</v>
      </c>
      <c r="H37" t="s">
        <v>226</v>
      </c>
      <c r="I37" t="s">
        <v>248</v>
      </c>
      <c r="J37">
        <v>5218</v>
      </c>
      <c r="K37" t="s">
        <v>238</v>
      </c>
      <c r="L37">
        <v>1000</v>
      </c>
      <c r="M37">
        <v>13.308199999999999</v>
      </c>
      <c r="N37">
        <v>1</v>
      </c>
      <c r="O37">
        <v>75.141641995160896</v>
      </c>
      <c r="P37">
        <v>1.2914628942617901</v>
      </c>
    </row>
    <row r="38" spans="1:16" x14ac:dyDescent="0.25">
      <c r="A38">
        <v>91</v>
      </c>
      <c r="B38">
        <v>2024</v>
      </c>
      <c r="C38">
        <v>2</v>
      </c>
      <c r="D38">
        <v>1</v>
      </c>
      <c r="E38">
        <v>0</v>
      </c>
      <c r="F38">
        <v>1</v>
      </c>
      <c r="G38">
        <v>14</v>
      </c>
      <c r="H38" t="s">
        <v>226</v>
      </c>
      <c r="I38" t="s">
        <v>248</v>
      </c>
      <c r="J38">
        <v>5218</v>
      </c>
      <c r="K38" t="s">
        <v>241</v>
      </c>
    </row>
    <row r="39" spans="1:16" x14ac:dyDescent="0.25">
      <c r="A39">
        <v>92</v>
      </c>
      <c r="B39">
        <v>2024</v>
      </c>
      <c r="C39">
        <v>2</v>
      </c>
      <c r="D39">
        <v>1</v>
      </c>
      <c r="E39">
        <v>0</v>
      </c>
      <c r="F39">
        <v>1</v>
      </c>
      <c r="G39">
        <v>15</v>
      </c>
      <c r="H39" t="s">
        <v>213</v>
      </c>
      <c r="I39" t="s">
        <v>227</v>
      </c>
    </row>
    <row r="40" spans="1:16" x14ac:dyDescent="0.25">
      <c r="A40">
        <v>93</v>
      </c>
      <c r="B40">
        <v>2024</v>
      </c>
      <c r="C40">
        <v>2</v>
      </c>
      <c r="D40">
        <v>1</v>
      </c>
      <c r="E40">
        <v>0</v>
      </c>
      <c r="F40">
        <v>1</v>
      </c>
      <c r="G40">
        <v>16</v>
      </c>
      <c r="H40" t="s">
        <v>228</v>
      </c>
      <c r="I40" t="s">
        <v>21</v>
      </c>
      <c r="J40" t="s">
        <v>21</v>
      </c>
      <c r="L40">
        <v>1000</v>
      </c>
      <c r="M40">
        <v>1000</v>
      </c>
      <c r="N40">
        <v>1</v>
      </c>
      <c r="O40">
        <v>1</v>
      </c>
      <c r="P40">
        <v>1</v>
      </c>
    </row>
    <row r="41" spans="1:16" x14ac:dyDescent="0.25">
      <c r="A41">
        <v>94</v>
      </c>
      <c r="B41">
        <v>2024</v>
      </c>
      <c r="C41">
        <v>2</v>
      </c>
      <c r="D41">
        <v>1</v>
      </c>
      <c r="E41">
        <v>0</v>
      </c>
      <c r="F41">
        <v>1</v>
      </c>
      <c r="G41">
        <v>17</v>
      </c>
      <c r="I41" t="s">
        <v>167</v>
      </c>
    </row>
    <row r="42" spans="1:16" x14ac:dyDescent="0.25">
      <c r="A42">
        <v>95</v>
      </c>
      <c r="B42">
        <v>2024</v>
      </c>
      <c r="C42">
        <v>2</v>
      </c>
      <c r="D42">
        <v>1</v>
      </c>
      <c r="E42">
        <v>0</v>
      </c>
      <c r="F42">
        <v>1</v>
      </c>
      <c r="G42">
        <v>18</v>
      </c>
      <c r="I42" t="s">
        <v>159</v>
      </c>
    </row>
    <row r="43" spans="1:16" x14ac:dyDescent="0.25">
      <c r="A43">
        <v>96</v>
      </c>
      <c r="B43">
        <v>2024</v>
      </c>
      <c r="C43">
        <v>2</v>
      </c>
      <c r="D43">
        <v>1</v>
      </c>
      <c r="E43">
        <v>0</v>
      </c>
      <c r="F43">
        <v>1</v>
      </c>
      <c r="G43">
        <v>19</v>
      </c>
      <c r="I43" t="s">
        <v>160</v>
      </c>
    </row>
    <row r="44" spans="1:16" x14ac:dyDescent="0.25">
      <c r="A44">
        <v>97</v>
      </c>
      <c r="B44">
        <v>2024</v>
      </c>
      <c r="C44">
        <v>2</v>
      </c>
      <c r="D44">
        <v>1</v>
      </c>
      <c r="E44">
        <v>0</v>
      </c>
      <c r="F44">
        <v>1</v>
      </c>
      <c r="G44">
        <v>20</v>
      </c>
      <c r="H44" t="s">
        <v>213</v>
      </c>
      <c r="I44" t="s">
        <v>248</v>
      </c>
      <c r="J44">
        <v>4764</v>
      </c>
      <c r="K44" t="s">
        <v>243</v>
      </c>
    </row>
    <row r="45" spans="1:16" x14ac:dyDescent="0.25">
      <c r="A45">
        <v>98</v>
      </c>
      <c r="B45">
        <v>2024</v>
      </c>
      <c r="C45">
        <v>2</v>
      </c>
      <c r="D45">
        <v>1</v>
      </c>
      <c r="E45">
        <v>0</v>
      </c>
      <c r="F45">
        <v>1</v>
      </c>
      <c r="G45">
        <v>21</v>
      </c>
      <c r="H45" t="s">
        <v>226</v>
      </c>
      <c r="I45" t="s">
        <v>248</v>
      </c>
      <c r="J45">
        <v>5218</v>
      </c>
      <c r="K45" t="s">
        <v>243</v>
      </c>
    </row>
    <row r="46" spans="1:16" x14ac:dyDescent="0.25">
      <c r="A46">
        <v>99</v>
      </c>
      <c r="B46">
        <v>2024</v>
      </c>
      <c r="C46">
        <v>2</v>
      </c>
      <c r="D46">
        <v>1</v>
      </c>
      <c r="E46">
        <v>0</v>
      </c>
      <c r="F46">
        <v>1</v>
      </c>
      <c r="G46">
        <v>22</v>
      </c>
      <c r="H46" t="s">
        <v>213</v>
      </c>
      <c r="I46" t="s">
        <v>248</v>
      </c>
      <c r="J46">
        <v>4764</v>
      </c>
      <c r="K46" t="s">
        <v>244</v>
      </c>
    </row>
    <row r="47" spans="1:16" x14ac:dyDescent="0.25">
      <c r="A47">
        <v>100</v>
      </c>
      <c r="B47">
        <v>2024</v>
      </c>
      <c r="C47">
        <v>2</v>
      </c>
      <c r="D47">
        <v>1</v>
      </c>
      <c r="E47">
        <v>0</v>
      </c>
      <c r="F47">
        <v>1</v>
      </c>
      <c r="G47">
        <v>23</v>
      </c>
      <c r="H47" t="s">
        <v>226</v>
      </c>
      <c r="I47" t="s">
        <v>248</v>
      </c>
      <c r="J47">
        <v>5218</v>
      </c>
      <c r="K47" t="s">
        <v>244</v>
      </c>
    </row>
    <row r="48" spans="1:16" x14ac:dyDescent="0.25">
      <c r="A48">
        <v>101</v>
      </c>
      <c r="B48">
        <v>2024</v>
      </c>
      <c r="C48">
        <v>8</v>
      </c>
      <c r="D48">
        <v>1</v>
      </c>
      <c r="E48">
        <v>0</v>
      </c>
      <c r="F48">
        <v>1</v>
      </c>
      <c r="G48">
        <v>1</v>
      </c>
      <c r="H48" t="s">
        <v>222</v>
      </c>
      <c r="I48" t="s">
        <v>223</v>
      </c>
    </row>
    <row r="49" spans="1:16" x14ac:dyDescent="0.25">
      <c r="A49">
        <v>102</v>
      </c>
      <c r="B49">
        <v>2024</v>
      </c>
      <c r="C49">
        <v>8</v>
      </c>
      <c r="D49">
        <v>1</v>
      </c>
      <c r="E49">
        <v>0</v>
      </c>
      <c r="F49">
        <v>1</v>
      </c>
      <c r="G49">
        <v>2</v>
      </c>
      <c r="H49" t="s">
        <v>224</v>
      </c>
      <c r="I49" t="s">
        <v>223</v>
      </c>
    </row>
    <row r="50" spans="1:16" x14ac:dyDescent="0.25">
      <c r="A50">
        <v>103</v>
      </c>
      <c r="B50">
        <v>2024</v>
      </c>
      <c r="C50">
        <v>8</v>
      </c>
      <c r="D50">
        <v>1</v>
      </c>
      <c r="E50">
        <v>0</v>
      </c>
      <c r="F50">
        <v>1</v>
      </c>
      <c r="G50">
        <v>3</v>
      </c>
      <c r="I50" t="s">
        <v>214</v>
      </c>
      <c r="J50">
        <v>151961</v>
      </c>
      <c r="L50">
        <v>1000</v>
      </c>
      <c r="M50">
        <v>8.5520999999999994</v>
      </c>
      <c r="N50">
        <v>1</v>
      </c>
      <c r="O50">
        <v>116.93034459372601</v>
      </c>
      <c r="P50">
        <v>2.52101822944072</v>
      </c>
    </row>
    <row r="51" spans="1:16" x14ac:dyDescent="0.25">
      <c r="A51">
        <v>104</v>
      </c>
      <c r="B51">
        <v>2024</v>
      </c>
      <c r="C51">
        <v>8</v>
      </c>
      <c r="D51">
        <v>1</v>
      </c>
      <c r="E51">
        <v>0</v>
      </c>
      <c r="F51">
        <v>1</v>
      </c>
      <c r="G51">
        <v>4</v>
      </c>
      <c r="I51" t="s">
        <v>214</v>
      </c>
      <c r="J51">
        <v>151961</v>
      </c>
      <c r="K51" t="s">
        <v>242</v>
      </c>
    </row>
    <row r="52" spans="1:16" x14ac:dyDescent="0.25">
      <c r="A52">
        <v>105</v>
      </c>
      <c r="B52">
        <v>2024</v>
      </c>
      <c r="C52">
        <v>8</v>
      </c>
      <c r="D52">
        <v>1</v>
      </c>
      <c r="E52">
        <v>0</v>
      </c>
      <c r="F52">
        <v>1</v>
      </c>
      <c r="G52">
        <v>5</v>
      </c>
      <c r="I52" t="s">
        <v>214</v>
      </c>
      <c r="J52">
        <v>151961</v>
      </c>
      <c r="K52" t="s">
        <v>238</v>
      </c>
      <c r="L52">
        <v>1000</v>
      </c>
      <c r="M52">
        <v>8.5520999999999994</v>
      </c>
      <c r="N52">
        <v>1</v>
      </c>
      <c r="O52">
        <v>116.93034459372601</v>
      </c>
      <c r="P52">
        <v>2.52101822944072</v>
      </c>
    </row>
    <row r="53" spans="1:16" x14ac:dyDescent="0.25">
      <c r="A53">
        <v>106</v>
      </c>
      <c r="B53">
        <v>2024</v>
      </c>
      <c r="C53">
        <v>8</v>
      </c>
      <c r="D53">
        <v>1</v>
      </c>
      <c r="E53">
        <v>0</v>
      </c>
      <c r="F53">
        <v>1</v>
      </c>
      <c r="G53">
        <v>6</v>
      </c>
      <c r="I53" t="s">
        <v>214</v>
      </c>
      <c r="J53">
        <v>151961</v>
      </c>
      <c r="K53" t="s">
        <v>241</v>
      </c>
    </row>
    <row r="54" spans="1:16" x14ac:dyDescent="0.25">
      <c r="A54">
        <v>107</v>
      </c>
      <c r="B54">
        <v>2024</v>
      </c>
      <c r="C54">
        <v>8</v>
      </c>
      <c r="D54">
        <v>1</v>
      </c>
      <c r="E54">
        <v>0</v>
      </c>
      <c r="F54">
        <v>1</v>
      </c>
      <c r="G54">
        <v>7</v>
      </c>
      <c r="H54" t="s">
        <v>225</v>
      </c>
      <c r="I54" t="s">
        <v>247</v>
      </c>
      <c r="J54" s="54" t="s">
        <v>221</v>
      </c>
      <c r="L54">
        <v>1000</v>
      </c>
      <c r="M54">
        <v>7.2114000000000003</v>
      </c>
      <c r="N54">
        <v>1</v>
      </c>
      <c r="O54">
        <v>138.66932911778599</v>
      </c>
      <c r="P54">
        <v>0.929754688179387</v>
      </c>
    </row>
    <row r="55" spans="1:16" x14ac:dyDescent="0.25">
      <c r="A55">
        <v>108</v>
      </c>
      <c r="B55">
        <v>2024</v>
      </c>
      <c r="C55">
        <v>8</v>
      </c>
      <c r="D55">
        <v>1</v>
      </c>
      <c r="E55">
        <v>0</v>
      </c>
      <c r="F55">
        <v>1</v>
      </c>
      <c r="G55">
        <v>8</v>
      </c>
      <c r="H55" t="s">
        <v>225</v>
      </c>
      <c r="I55" t="s">
        <v>247</v>
      </c>
      <c r="J55" s="54" t="s">
        <v>221</v>
      </c>
      <c r="K55" t="s">
        <v>242</v>
      </c>
    </row>
    <row r="56" spans="1:16" x14ac:dyDescent="0.25">
      <c r="A56">
        <v>109</v>
      </c>
      <c r="B56">
        <v>2024</v>
      </c>
      <c r="C56">
        <v>8</v>
      </c>
      <c r="D56">
        <v>1</v>
      </c>
      <c r="E56">
        <v>0</v>
      </c>
      <c r="F56">
        <v>1</v>
      </c>
      <c r="G56">
        <v>9</v>
      </c>
      <c r="H56" t="s">
        <v>225</v>
      </c>
      <c r="I56" t="s">
        <v>247</v>
      </c>
      <c r="J56" s="54" t="s">
        <v>221</v>
      </c>
      <c r="K56" t="s">
        <v>238</v>
      </c>
      <c r="L56">
        <v>1000</v>
      </c>
      <c r="M56">
        <v>7.2114000000000003</v>
      </c>
      <c r="N56">
        <v>1</v>
      </c>
      <c r="O56">
        <v>138.66932911778599</v>
      </c>
      <c r="P56">
        <v>0.929754688179387</v>
      </c>
    </row>
    <row r="57" spans="1:16" x14ac:dyDescent="0.25">
      <c r="A57">
        <v>110</v>
      </c>
      <c r="B57">
        <v>2024</v>
      </c>
      <c r="C57">
        <v>8</v>
      </c>
      <c r="D57">
        <v>1</v>
      </c>
      <c r="E57">
        <v>0</v>
      </c>
      <c r="F57">
        <v>1</v>
      </c>
      <c r="G57">
        <v>10</v>
      </c>
      <c r="H57" t="s">
        <v>225</v>
      </c>
      <c r="I57" t="s">
        <v>247</v>
      </c>
      <c r="J57" s="54" t="s">
        <v>221</v>
      </c>
      <c r="K57" t="s">
        <v>241</v>
      </c>
    </row>
    <row r="58" spans="1:16" x14ac:dyDescent="0.25">
      <c r="A58">
        <v>111</v>
      </c>
      <c r="B58">
        <v>2024</v>
      </c>
      <c r="C58">
        <v>8</v>
      </c>
      <c r="D58">
        <v>1</v>
      </c>
      <c r="E58">
        <v>0</v>
      </c>
      <c r="F58">
        <v>1</v>
      </c>
      <c r="G58">
        <v>11</v>
      </c>
      <c r="H58" t="s">
        <v>226</v>
      </c>
      <c r="I58" t="s">
        <v>214</v>
      </c>
      <c r="J58">
        <v>151960</v>
      </c>
      <c r="L58">
        <v>1000</v>
      </c>
      <c r="M58">
        <v>8.6873000000000005</v>
      </c>
      <c r="N58">
        <v>1</v>
      </c>
      <c r="O58">
        <v>115.11056369643001</v>
      </c>
      <c r="P58">
        <v>2.4150196263511101</v>
      </c>
    </row>
    <row r="59" spans="1:16" x14ac:dyDescent="0.25">
      <c r="A59">
        <v>112</v>
      </c>
      <c r="B59">
        <v>2024</v>
      </c>
      <c r="C59">
        <v>8</v>
      </c>
      <c r="D59">
        <v>1</v>
      </c>
      <c r="E59">
        <v>0</v>
      </c>
      <c r="F59">
        <v>1</v>
      </c>
      <c r="G59">
        <v>12</v>
      </c>
      <c r="H59" t="s">
        <v>226</v>
      </c>
      <c r="I59" t="s">
        <v>214</v>
      </c>
      <c r="J59">
        <v>151960</v>
      </c>
      <c r="K59" t="s">
        <v>242</v>
      </c>
    </row>
    <row r="60" spans="1:16" x14ac:dyDescent="0.25">
      <c r="A60">
        <v>113</v>
      </c>
      <c r="B60">
        <v>2024</v>
      </c>
      <c r="C60">
        <v>8</v>
      </c>
      <c r="D60">
        <v>1</v>
      </c>
      <c r="E60">
        <v>0</v>
      </c>
      <c r="F60">
        <v>1</v>
      </c>
      <c r="G60">
        <v>13</v>
      </c>
      <c r="H60" t="s">
        <v>226</v>
      </c>
      <c r="I60" t="s">
        <v>214</v>
      </c>
      <c r="J60">
        <v>151960</v>
      </c>
      <c r="K60" t="s">
        <v>238</v>
      </c>
      <c r="L60">
        <v>1000</v>
      </c>
      <c r="M60">
        <v>8.6873000000000005</v>
      </c>
      <c r="N60">
        <v>1</v>
      </c>
      <c r="O60">
        <v>115.11056369643001</v>
      </c>
      <c r="P60">
        <v>2.4150196263511101</v>
      </c>
    </row>
    <row r="61" spans="1:16" x14ac:dyDescent="0.25">
      <c r="A61">
        <v>114</v>
      </c>
      <c r="B61">
        <v>2024</v>
      </c>
      <c r="C61">
        <v>8</v>
      </c>
      <c r="D61">
        <v>1</v>
      </c>
      <c r="E61">
        <v>0</v>
      </c>
      <c r="F61">
        <v>1</v>
      </c>
      <c r="G61">
        <v>14</v>
      </c>
      <c r="H61" t="s">
        <v>226</v>
      </c>
      <c r="I61" t="s">
        <v>214</v>
      </c>
      <c r="J61">
        <v>151960</v>
      </c>
      <c r="K61" t="s">
        <v>241</v>
      </c>
    </row>
    <row r="62" spans="1:16" x14ac:dyDescent="0.25">
      <c r="A62">
        <v>115</v>
      </c>
      <c r="B62">
        <v>2024</v>
      </c>
      <c r="C62">
        <v>8</v>
      </c>
      <c r="D62">
        <v>1</v>
      </c>
      <c r="E62">
        <v>0</v>
      </c>
      <c r="F62">
        <v>1</v>
      </c>
      <c r="G62">
        <v>15</v>
      </c>
      <c r="H62" t="s">
        <v>213</v>
      </c>
      <c r="I62" t="s">
        <v>227</v>
      </c>
    </row>
    <row r="63" spans="1:16" x14ac:dyDescent="0.25">
      <c r="A63">
        <v>116</v>
      </c>
      <c r="B63">
        <v>2024</v>
      </c>
      <c r="C63">
        <v>8</v>
      </c>
      <c r="D63">
        <v>1</v>
      </c>
      <c r="E63">
        <v>0</v>
      </c>
      <c r="F63">
        <v>1</v>
      </c>
      <c r="G63">
        <v>16</v>
      </c>
      <c r="H63" t="s">
        <v>228</v>
      </c>
      <c r="I63" t="s">
        <v>21</v>
      </c>
      <c r="J63" t="s">
        <v>21</v>
      </c>
      <c r="L63">
        <v>1000</v>
      </c>
      <c r="M63">
        <v>1000</v>
      </c>
      <c r="N63">
        <v>1</v>
      </c>
      <c r="O63">
        <v>1</v>
      </c>
      <c r="P63">
        <v>1</v>
      </c>
    </row>
    <row r="64" spans="1:16" x14ac:dyDescent="0.25">
      <c r="A64">
        <v>117</v>
      </c>
      <c r="B64">
        <v>2024</v>
      </c>
      <c r="C64">
        <v>8</v>
      </c>
      <c r="D64">
        <v>1</v>
      </c>
      <c r="E64">
        <v>0</v>
      </c>
      <c r="F64">
        <v>1</v>
      </c>
      <c r="G64">
        <v>17</v>
      </c>
      <c r="I64" t="s">
        <v>167</v>
      </c>
    </row>
    <row r="65" spans="1:16" x14ac:dyDescent="0.25">
      <c r="A65">
        <v>118</v>
      </c>
      <c r="B65">
        <v>2024</v>
      </c>
      <c r="C65">
        <v>8</v>
      </c>
      <c r="D65">
        <v>1</v>
      </c>
      <c r="E65">
        <v>0</v>
      </c>
      <c r="F65">
        <v>1</v>
      </c>
      <c r="G65">
        <v>18</v>
      </c>
      <c r="I65" t="s">
        <v>159</v>
      </c>
    </row>
    <row r="66" spans="1:16" x14ac:dyDescent="0.25">
      <c r="A66">
        <v>119</v>
      </c>
      <c r="B66">
        <v>2024</v>
      </c>
      <c r="C66">
        <v>8</v>
      </c>
      <c r="D66">
        <v>1</v>
      </c>
      <c r="E66">
        <v>0</v>
      </c>
      <c r="F66">
        <v>1</v>
      </c>
      <c r="G66">
        <v>19</v>
      </c>
      <c r="I66" t="s">
        <v>160</v>
      </c>
    </row>
    <row r="67" spans="1:16" x14ac:dyDescent="0.25">
      <c r="A67">
        <v>120</v>
      </c>
      <c r="B67">
        <v>2024</v>
      </c>
      <c r="C67">
        <v>8</v>
      </c>
      <c r="D67">
        <v>1</v>
      </c>
      <c r="E67">
        <v>0</v>
      </c>
      <c r="F67">
        <v>1</v>
      </c>
      <c r="G67">
        <v>20</v>
      </c>
      <c r="H67" t="s">
        <v>213</v>
      </c>
      <c r="I67" t="s">
        <v>229</v>
      </c>
    </row>
    <row r="68" spans="1:16" x14ac:dyDescent="0.25">
      <c r="A68">
        <v>121</v>
      </c>
      <c r="B68">
        <v>2024</v>
      </c>
      <c r="C68">
        <v>8</v>
      </c>
      <c r="D68">
        <v>1</v>
      </c>
      <c r="E68">
        <v>0</v>
      </c>
      <c r="F68">
        <v>1</v>
      </c>
      <c r="G68">
        <v>21</v>
      </c>
      <c r="H68" t="s">
        <v>226</v>
      </c>
      <c r="I68" t="s">
        <v>229</v>
      </c>
    </row>
    <row r="69" spans="1:16" x14ac:dyDescent="0.25">
      <c r="A69">
        <v>65</v>
      </c>
      <c r="B69">
        <v>2022</v>
      </c>
      <c r="C69">
        <v>7</v>
      </c>
      <c r="D69">
        <v>19</v>
      </c>
      <c r="E69">
        <v>12</v>
      </c>
      <c r="F69">
        <v>46</v>
      </c>
      <c r="G69">
        <v>1</v>
      </c>
      <c r="H69" t="s">
        <v>213</v>
      </c>
      <c r="I69" t="s">
        <v>248</v>
      </c>
      <c r="J69">
        <v>4764</v>
      </c>
      <c r="L69">
        <v>1000</v>
      </c>
      <c r="M69">
        <v>16.624700000000001</v>
      </c>
      <c r="N69">
        <v>1</v>
      </c>
      <c r="O69">
        <v>60.151461379754203</v>
      </c>
      <c r="P69">
        <v>1.16405016530411</v>
      </c>
    </row>
    <row r="70" spans="1:16" x14ac:dyDescent="0.25">
      <c r="A70">
        <v>66</v>
      </c>
      <c r="B70">
        <v>2022</v>
      </c>
      <c r="C70">
        <v>7</v>
      </c>
      <c r="D70">
        <v>19</v>
      </c>
      <c r="E70">
        <v>12</v>
      </c>
      <c r="F70">
        <v>46</v>
      </c>
      <c r="G70">
        <v>2</v>
      </c>
      <c r="H70" t="s">
        <v>225</v>
      </c>
      <c r="I70" t="s">
        <v>37</v>
      </c>
      <c r="J70" s="54" t="s">
        <v>220</v>
      </c>
      <c r="L70">
        <v>1000</v>
      </c>
      <c r="M70">
        <v>8.3750999999999998</v>
      </c>
      <c r="N70">
        <v>1</v>
      </c>
      <c r="O70">
        <v>119.401559384366</v>
      </c>
      <c r="P70">
        <v>1.8352099609999999</v>
      </c>
    </row>
    <row r="71" spans="1:16" x14ac:dyDescent="0.25">
      <c r="A71">
        <v>67</v>
      </c>
      <c r="B71">
        <v>2022</v>
      </c>
      <c r="C71">
        <v>7</v>
      </c>
      <c r="D71">
        <v>19</v>
      </c>
      <c r="E71">
        <v>12</v>
      </c>
      <c r="F71">
        <v>46</v>
      </c>
      <c r="G71">
        <v>3</v>
      </c>
      <c r="H71" t="s">
        <v>226</v>
      </c>
      <c r="I71" t="s">
        <v>248</v>
      </c>
      <c r="J71">
        <v>5218</v>
      </c>
      <c r="L71">
        <v>1000</v>
      </c>
      <c r="M71">
        <v>13.317600000000001</v>
      </c>
      <c r="N71">
        <v>1</v>
      </c>
      <c r="O71">
        <v>75.088604553373003</v>
      </c>
      <c r="P71">
        <v>1.2169603471391199</v>
      </c>
    </row>
    <row r="72" spans="1:16" x14ac:dyDescent="0.25">
      <c r="A72">
        <v>68</v>
      </c>
      <c r="B72">
        <v>2022</v>
      </c>
      <c r="C72">
        <v>7</v>
      </c>
      <c r="D72">
        <v>19</v>
      </c>
      <c r="E72">
        <v>12</v>
      </c>
      <c r="F72">
        <v>46</v>
      </c>
      <c r="G72">
        <v>4</v>
      </c>
      <c r="H72" t="s">
        <v>213</v>
      </c>
      <c r="I72" t="s">
        <v>248</v>
      </c>
      <c r="J72">
        <v>4764</v>
      </c>
      <c r="K72" t="s">
        <v>242</v>
      </c>
    </row>
    <row r="73" spans="1:16" x14ac:dyDescent="0.25">
      <c r="A73">
        <v>69</v>
      </c>
      <c r="B73">
        <v>2022</v>
      </c>
      <c r="C73">
        <v>7</v>
      </c>
      <c r="D73">
        <v>19</v>
      </c>
      <c r="E73">
        <v>12</v>
      </c>
      <c r="F73">
        <v>46</v>
      </c>
      <c r="G73">
        <v>5</v>
      </c>
      <c r="H73" t="s">
        <v>225</v>
      </c>
      <c r="I73" t="s">
        <v>37</v>
      </c>
      <c r="J73" s="54" t="s">
        <v>220</v>
      </c>
      <c r="K73" t="s">
        <v>242</v>
      </c>
    </row>
    <row r="74" spans="1:16" x14ac:dyDescent="0.25">
      <c r="A74">
        <v>70</v>
      </c>
      <c r="B74">
        <v>2022</v>
      </c>
      <c r="C74">
        <v>7</v>
      </c>
      <c r="D74">
        <v>19</v>
      </c>
      <c r="E74">
        <v>12</v>
      </c>
      <c r="F74">
        <v>46</v>
      </c>
      <c r="G74">
        <v>6</v>
      </c>
      <c r="H74" t="s">
        <v>226</v>
      </c>
      <c r="I74" t="s">
        <v>248</v>
      </c>
      <c r="J74">
        <v>5218</v>
      </c>
      <c r="K74" t="s">
        <v>242</v>
      </c>
    </row>
    <row r="75" spans="1:16" x14ac:dyDescent="0.25">
      <c r="A75">
        <v>71</v>
      </c>
      <c r="B75">
        <v>2022</v>
      </c>
      <c r="C75">
        <v>7</v>
      </c>
      <c r="D75">
        <v>19</v>
      </c>
      <c r="E75">
        <v>12</v>
      </c>
      <c r="F75">
        <v>46</v>
      </c>
      <c r="G75">
        <v>7</v>
      </c>
      <c r="H75" t="s">
        <v>213</v>
      </c>
      <c r="I75" t="s">
        <v>248</v>
      </c>
      <c r="J75">
        <v>4764</v>
      </c>
      <c r="K75" t="s">
        <v>238</v>
      </c>
      <c r="L75">
        <v>1000</v>
      </c>
      <c r="M75">
        <v>16.624700000000001</v>
      </c>
      <c r="N75">
        <v>1</v>
      </c>
      <c r="O75">
        <v>60.151461379754203</v>
      </c>
      <c r="P75">
        <v>1.16405016530411</v>
      </c>
    </row>
    <row r="76" spans="1:16" x14ac:dyDescent="0.25">
      <c r="A76">
        <v>72</v>
      </c>
      <c r="B76">
        <v>2022</v>
      </c>
      <c r="C76">
        <v>7</v>
      </c>
      <c r="D76">
        <v>19</v>
      </c>
      <c r="E76">
        <v>12</v>
      </c>
      <c r="F76">
        <v>46</v>
      </c>
      <c r="G76">
        <v>8</v>
      </c>
      <c r="H76" t="s">
        <v>225</v>
      </c>
      <c r="I76" t="s">
        <v>37</v>
      </c>
      <c r="J76" s="54" t="s">
        <v>220</v>
      </c>
      <c r="K76" t="s">
        <v>238</v>
      </c>
      <c r="L76">
        <v>1000</v>
      </c>
      <c r="M76">
        <v>8.3750999999999998</v>
      </c>
      <c r="N76">
        <v>1</v>
      </c>
      <c r="O76">
        <v>119.401559384366</v>
      </c>
      <c r="P76">
        <v>1.8352099609999999</v>
      </c>
    </row>
    <row r="77" spans="1:16" x14ac:dyDescent="0.25">
      <c r="A77">
        <v>73</v>
      </c>
      <c r="B77">
        <v>2022</v>
      </c>
      <c r="C77">
        <v>7</v>
      </c>
      <c r="D77">
        <v>19</v>
      </c>
      <c r="E77">
        <v>12</v>
      </c>
      <c r="F77">
        <v>46</v>
      </c>
      <c r="G77">
        <v>9</v>
      </c>
      <c r="H77" t="s">
        <v>226</v>
      </c>
      <c r="I77" t="s">
        <v>248</v>
      </c>
      <c r="J77">
        <v>5218</v>
      </c>
      <c r="K77" t="s">
        <v>238</v>
      </c>
      <c r="L77">
        <v>1000</v>
      </c>
      <c r="M77">
        <v>13.317600000000001</v>
      </c>
      <c r="N77">
        <v>1</v>
      </c>
      <c r="O77">
        <v>75.088604553373003</v>
      </c>
      <c r="P77">
        <v>1.2169603471391199</v>
      </c>
    </row>
    <row r="78" spans="1:16" x14ac:dyDescent="0.25">
      <c r="A78">
        <v>74</v>
      </c>
      <c r="B78">
        <v>2022</v>
      </c>
      <c r="C78">
        <v>7</v>
      </c>
      <c r="D78">
        <v>19</v>
      </c>
      <c r="E78">
        <v>12</v>
      </c>
      <c r="F78">
        <v>46</v>
      </c>
      <c r="G78">
        <v>10</v>
      </c>
      <c r="H78" t="s">
        <v>228</v>
      </c>
      <c r="I78" t="s">
        <v>21</v>
      </c>
      <c r="J78" t="s">
        <v>21</v>
      </c>
      <c r="L78">
        <v>1000</v>
      </c>
      <c r="M78">
        <v>1000</v>
      </c>
      <c r="N78">
        <v>1</v>
      </c>
      <c r="O78">
        <v>1</v>
      </c>
      <c r="P78">
        <v>1</v>
      </c>
    </row>
    <row r="79" spans="1:16" x14ac:dyDescent="0.25">
      <c r="A79">
        <v>75</v>
      </c>
      <c r="B79">
        <v>2022</v>
      </c>
      <c r="C79">
        <v>7</v>
      </c>
      <c r="D79">
        <v>19</v>
      </c>
      <c r="E79">
        <v>12</v>
      </c>
      <c r="F79">
        <v>46</v>
      </c>
      <c r="G79">
        <v>11</v>
      </c>
      <c r="H79" t="s">
        <v>213</v>
      </c>
      <c r="I79" t="s">
        <v>248</v>
      </c>
      <c r="J79">
        <v>4764</v>
      </c>
      <c r="K79" t="s">
        <v>244</v>
      </c>
      <c r="L79">
        <v>1000</v>
      </c>
      <c r="M79">
        <v>1000</v>
      </c>
      <c r="N79">
        <v>1</v>
      </c>
      <c r="O79">
        <v>1</v>
      </c>
      <c r="P79">
        <v>5</v>
      </c>
    </row>
    <row r="80" spans="1:16" x14ac:dyDescent="0.25">
      <c r="A80">
        <v>76</v>
      </c>
      <c r="B80">
        <v>2022</v>
      </c>
      <c r="C80">
        <v>7</v>
      </c>
      <c r="D80">
        <v>19</v>
      </c>
      <c r="E80">
        <v>12</v>
      </c>
      <c r="F80">
        <v>46</v>
      </c>
      <c r="G80">
        <v>12</v>
      </c>
      <c r="H80" t="s">
        <v>226</v>
      </c>
      <c r="I80" t="s">
        <v>248</v>
      </c>
      <c r="J80">
        <v>5218</v>
      </c>
      <c r="K80" t="s">
        <v>244</v>
      </c>
      <c r="L80">
        <v>1000</v>
      </c>
      <c r="M80">
        <v>1000</v>
      </c>
      <c r="N80">
        <v>1</v>
      </c>
      <c r="O80">
        <v>1</v>
      </c>
      <c r="P80">
        <v>1</v>
      </c>
    </row>
    <row r="81" spans="1:16" x14ac:dyDescent="0.25">
      <c r="A81">
        <v>77</v>
      </c>
      <c r="B81">
        <v>2022</v>
      </c>
      <c r="C81">
        <v>7</v>
      </c>
      <c r="D81">
        <v>19</v>
      </c>
      <c r="E81">
        <v>12</v>
      </c>
      <c r="F81">
        <v>46</v>
      </c>
      <c r="G81">
        <v>13</v>
      </c>
      <c r="I81" t="s">
        <v>75</v>
      </c>
    </row>
    <row r="82" spans="1:16" x14ac:dyDescent="0.25">
      <c r="A82">
        <v>37</v>
      </c>
      <c r="B82">
        <v>2021</v>
      </c>
      <c r="C82">
        <v>1</v>
      </c>
      <c r="D82">
        <v>1</v>
      </c>
      <c r="E82">
        <v>0</v>
      </c>
      <c r="F82">
        <v>1</v>
      </c>
      <c r="G82">
        <v>1</v>
      </c>
      <c r="H82" t="s">
        <v>213</v>
      </c>
      <c r="I82" t="s">
        <v>34</v>
      </c>
      <c r="J82" t="s">
        <v>217</v>
      </c>
      <c r="L82">
        <v>1000</v>
      </c>
      <c r="M82">
        <v>6.9976000000000003</v>
      </c>
      <c r="N82">
        <v>1</v>
      </c>
      <c r="O82">
        <v>142.906139247742</v>
      </c>
      <c r="P82">
        <v>1.80205774681044</v>
      </c>
    </row>
    <row r="83" spans="1:16" x14ac:dyDescent="0.25">
      <c r="A83">
        <v>38</v>
      </c>
      <c r="B83">
        <v>2021</v>
      </c>
      <c r="C83">
        <v>1</v>
      </c>
      <c r="D83">
        <v>1</v>
      </c>
      <c r="E83">
        <v>0</v>
      </c>
      <c r="F83">
        <v>1</v>
      </c>
      <c r="G83">
        <v>2</v>
      </c>
      <c r="H83" t="s">
        <v>225</v>
      </c>
      <c r="I83" t="s">
        <v>37</v>
      </c>
      <c r="J83" s="54" t="s">
        <v>220</v>
      </c>
      <c r="L83">
        <v>1000</v>
      </c>
      <c r="M83">
        <v>8.3756000000000004</v>
      </c>
      <c r="N83">
        <v>1</v>
      </c>
      <c r="O83">
        <v>119.394431443717</v>
      </c>
      <c r="P83">
        <v>2.03531169831321</v>
      </c>
    </row>
    <row r="84" spans="1:16" x14ac:dyDescent="0.25">
      <c r="A84">
        <v>39</v>
      </c>
      <c r="B84">
        <v>2021</v>
      </c>
      <c r="C84">
        <v>1</v>
      </c>
      <c r="D84">
        <v>1</v>
      </c>
      <c r="E84">
        <v>0</v>
      </c>
      <c r="F84">
        <v>1</v>
      </c>
      <c r="G84">
        <v>3</v>
      </c>
      <c r="H84" t="s">
        <v>226</v>
      </c>
      <c r="I84" t="s">
        <v>86</v>
      </c>
      <c r="J84" t="s">
        <v>218</v>
      </c>
      <c r="L84">
        <v>1000</v>
      </c>
      <c r="M84">
        <v>8.4390000000000001</v>
      </c>
      <c r="N84">
        <v>1</v>
      </c>
      <c r="O84">
        <v>118.497452304775</v>
      </c>
      <c r="P84">
        <v>2.20773173146471</v>
      </c>
    </row>
    <row r="85" spans="1:16" x14ac:dyDescent="0.25">
      <c r="A85">
        <v>40</v>
      </c>
      <c r="B85">
        <v>2021</v>
      </c>
      <c r="C85">
        <v>1</v>
      </c>
      <c r="D85">
        <v>1</v>
      </c>
      <c r="E85">
        <v>0</v>
      </c>
      <c r="F85">
        <v>1</v>
      </c>
      <c r="G85">
        <v>4</v>
      </c>
      <c r="H85" t="s">
        <v>230</v>
      </c>
      <c r="I85" t="s">
        <v>231</v>
      </c>
      <c r="J85" t="s">
        <v>219</v>
      </c>
    </row>
    <row r="86" spans="1:16" x14ac:dyDescent="0.25">
      <c r="A86">
        <v>41</v>
      </c>
      <c r="B86">
        <v>2021</v>
      </c>
      <c r="C86">
        <v>1</v>
      </c>
      <c r="D86">
        <v>1</v>
      </c>
      <c r="E86">
        <v>0</v>
      </c>
      <c r="F86">
        <v>1</v>
      </c>
      <c r="G86">
        <v>5</v>
      </c>
      <c r="H86" t="s">
        <v>230</v>
      </c>
      <c r="I86" t="s">
        <v>232</v>
      </c>
      <c r="J86" t="s">
        <v>219</v>
      </c>
    </row>
    <row r="87" spans="1:16" x14ac:dyDescent="0.25">
      <c r="A87">
        <v>42</v>
      </c>
      <c r="B87">
        <v>2021</v>
      </c>
      <c r="C87">
        <v>1</v>
      </c>
      <c r="D87">
        <v>1</v>
      </c>
      <c r="E87">
        <v>0</v>
      </c>
      <c r="F87">
        <v>1</v>
      </c>
      <c r="G87">
        <v>6</v>
      </c>
      <c r="H87" t="s">
        <v>230</v>
      </c>
      <c r="I87" t="s">
        <v>233</v>
      </c>
      <c r="J87" t="s">
        <v>219</v>
      </c>
    </row>
    <row r="88" spans="1:16" x14ac:dyDescent="0.25">
      <c r="A88">
        <v>43</v>
      </c>
      <c r="B88">
        <v>2021</v>
      </c>
      <c r="C88">
        <v>1</v>
      </c>
      <c r="D88">
        <v>1</v>
      </c>
      <c r="E88">
        <v>0</v>
      </c>
      <c r="F88">
        <v>1</v>
      </c>
      <c r="G88">
        <v>7</v>
      </c>
      <c r="H88" t="s">
        <v>213</v>
      </c>
      <c r="I88" t="s">
        <v>34</v>
      </c>
      <c r="J88" t="s">
        <v>217</v>
      </c>
      <c r="K88" t="s">
        <v>238</v>
      </c>
      <c r="L88">
        <v>1000</v>
      </c>
      <c r="M88">
        <v>6.9976000000000003</v>
      </c>
      <c r="N88">
        <v>1</v>
      </c>
      <c r="O88">
        <v>142.906139247742</v>
      </c>
      <c r="P88">
        <v>1.80205774681044</v>
      </c>
    </row>
    <row r="89" spans="1:16" x14ac:dyDescent="0.25">
      <c r="A89">
        <v>44</v>
      </c>
      <c r="B89">
        <v>2021</v>
      </c>
      <c r="C89">
        <v>1</v>
      </c>
      <c r="D89">
        <v>1</v>
      </c>
      <c r="E89">
        <v>0</v>
      </c>
      <c r="F89">
        <v>1</v>
      </c>
      <c r="G89">
        <v>8</v>
      </c>
      <c r="H89" t="s">
        <v>225</v>
      </c>
      <c r="I89" t="s">
        <v>37</v>
      </c>
      <c r="J89" s="54" t="s">
        <v>220</v>
      </c>
      <c r="K89" t="s">
        <v>238</v>
      </c>
      <c r="L89">
        <v>1000</v>
      </c>
      <c r="M89">
        <v>8.3756000000000004</v>
      </c>
      <c r="N89">
        <v>1</v>
      </c>
      <c r="O89">
        <v>119.394431443717</v>
      </c>
      <c r="P89">
        <v>2.03531169831321</v>
      </c>
    </row>
    <row r="90" spans="1:16" x14ac:dyDescent="0.25">
      <c r="A90">
        <v>45</v>
      </c>
      <c r="B90">
        <v>2021</v>
      </c>
      <c r="C90">
        <v>1</v>
      </c>
      <c r="D90">
        <v>1</v>
      </c>
      <c r="E90">
        <v>0</v>
      </c>
      <c r="F90">
        <v>1</v>
      </c>
      <c r="G90">
        <v>9</v>
      </c>
      <c r="H90" t="s">
        <v>226</v>
      </c>
      <c r="I90" t="s">
        <v>86</v>
      </c>
      <c r="J90" t="s">
        <v>218</v>
      </c>
      <c r="K90" t="s">
        <v>238</v>
      </c>
      <c r="L90">
        <v>1000</v>
      </c>
      <c r="M90">
        <v>8.4390000000000001</v>
      </c>
      <c r="N90">
        <v>1</v>
      </c>
      <c r="O90">
        <v>118.497452304775</v>
      </c>
      <c r="P90">
        <v>2.20773173146471</v>
      </c>
    </row>
    <row r="91" spans="1:16" x14ac:dyDescent="0.25">
      <c r="A91">
        <v>46</v>
      </c>
      <c r="B91">
        <v>2021</v>
      </c>
      <c r="C91">
        <v>1</v>
      </c>
      <c r="D91">
        <v>1</v>
      </c>
      <c r="E91">
        <v>0</v>
      </c>
      <c r="F91">
        <v>1</v>
      </c>
      <c r="G91">
        <v>10</v>
      </c>
      <c r="H91" t="s">
        <v>230</v>
      </c>
      <c r="I91" t="s">
        <v>234</v>
      </c>
      <c r="J91" t="s">
        <v>219</v>
      </c>
      <c r="L91">
        <v>1000</v>
      </c>
      <c r="M91">
        <v>1000</v>
      </c>
      <c r="N91">
        <v>1</v>
      </c>
      <c r="O91">
        <v>1</v>
      </c>
      <c r="P91">
        <v>5</v>
      </c>
    </row>
    <row r="92" spans="1:16" x14ac:dyDescent="0.25">
      <c r="A92">
        <v>47</v>
      </c>
      <c r="B92">
        <v>2021</v>
      </c>
      <c r="C92">
        <v>1</v>
      </c>
      <c r="D92">
        <v>1</v>
      </c>
      <c r="E92">
        <v>0</v>
      </c>
      <c r="F92">
        <v>1</v>
      </c>
      <c r="G92">
        <v>11</v>
      </c>
      <c r="H92" t="s">
        <v>230</v>
      </c>
      <c r="I92" t="s">
        <v>235</v>
      </c>
      <c r="J92" t="s">
        <v>219</v>
      </c>
      <c r="L92">
        <v>1000</v>
      </c>
      <c r="M92">
        <v>1000</v>
      </c>
      <c r="N92">
        <v>1</v>
      </c>
      <c r="O92">
        <v>1</v>
      </c>
      <c r="P92">
        <v>5</v>
      </c>
    </row>
    <row r="93" spans="1:16" x14ac:dyDescent="0.25">
      <c r="A93">
        <v>48</v>
      </c>
      <c r="B93">
        <v>2021</v>
      </c>
      <c r="C93">
        <v>1</v>
      </c>
      <c r="D93">
        <v>1</v>
      </c>
      <c r="E93">
        <v>0</v>
      </c>
      <c r="F93">
        <v>1</v>
      </c>
      <c r="G93">
        <v>12</v>
      </c>
      <c r="H93" t="s">
        <v>230</v>
      </c>
      <c r="I93" t="s">
        <v>236</v>
      </c>
      <c r="J93" t="s">
        <v>219</v>
      </c>
      <c r="L93">
        <v>1000</v>
      </c>
      <c r="M93">
        <v>1000</v>
      </c>
      <c r="N93">
        <v>1</v>
      </c>
      <c r="O93">
        <v>1</v>
      </c>
      <c r="P93">
        <v>1</v>
      </c>
    </row>
    <row r="94" spans="1:16" x14ac:dyDescent="0.25">
      <c r="A94">
        <v>49</v>
      </c>
      <c r="B94">
        <v>2021</v>
      </c>
      <c r="C94">
        <v>1</v>
      </c>
      <c r="D94">
        <v>1</v>
      </c>
      <c r="E94">
        <v>0</v>
      </c>
      <c r="F94">
        <v>1</v>
      </c>
      <c r="G94">
        <v>13</v>
      </c>
      <c r="H94" t="s">
        <v>230</v>
      </c>
      <c r="I94" t="s">
        <v>237</v>
      </c>
      <c r="J94" t="s">
        <v>219</v>
      </c>
      <c r="L94">
        <v>1000</v>
      </c>
      <c r="M94">
        <v>1000</v>
      </c>
      <c r="N94">
        <v>1</v>
      </c>
      <c r="O94">
        <v>1</v>
      </c>
      <c r="P94">
        <v>1</v>
      </c>
    </row>
    <row r="95" spans="1:16" x14ac:dyDescent="0.25">
      <c r="A95">
        <v>50</v>
      </c>
      <c r="B95">
        <v>2021</v>
      </c>
      <c r="C95">
        <v>1</v>
      </c>
      <c r="D95">
        <v>1</v>
      </c>
      <c r="E95">
        <v>0</v>
      </c>
      <c r="F95">
        <v>1</v>
      </c>
      <c r="G95">
        <v>14</v>
      </c>
      <c r="H95" t="s">
        <v>228</v>
      </c>
      <c r="I95" t="s">
        <v>21</v>
      </c>
      <c r="J95" t="s">
        <v>21</v>
      </c>
      <c r="L95">
        <v>1000</v>
      </c>
      <c r="M95">
        <v>1000</v>
      </c>
      <c r="N95">
        <v>1</v>
      </c>
      <c r="O95">
        <v>1</v>
      </c>
      <c r="P95">
        <v>1</v>
      </c>
    </row>
    <row r="96" spans="1:16" x14ac:dyDescent="0.25">
      <c r="A96">
        <v>51</v>
      </c>
      <c r="B96">
        <v>2021</v>
      </c>
      <c r="C96">
        <v>1</v>
      </c>
      <c r="D96">
        <v>1</v>
      </c>
      <c r="E96">
        <v>0</v>
      </c>
      <c r="F96">
        <v>1</v>
      </c>
      <c r="G96">
        <v>15</v>
      </c>
      <c r="I96" t="s">
        <v>75</v>
      </c>
    </row>
    <row r="97" spans="1:16" x14ac:dyDescent="0.25">
      <c r="A97">
        <v>52</v>
      </c>
      <c r="B97">
        <v>2021</v>
      </c>
      <c r="C97">
        <v>7</v>
      </c>
      <c r="D97">
        <v>1</v>
      </c>
      <c r="E97">
        <v>0</v>
      </c>
      <c r="F97">
        <v>1</v>
      </c>
      <c r="G97">
        <v>1</v>
      </c>
      <c r="H97" t="s">
        <v>213</v>
      </c>
      <c r="I97" t="s">
        <v>248</v>
      </c>
      <c r="J97">
        <v>4764</v>
      </c>
      <c r="L97">
        <v>1000</v>
      </c>
      <c r="M97">
        <v>16.6112</v>
      </c>
      <c r="N97">
        <v>1</v>
      </c>
      <c r="O97">
        <v>60.200346753997302</v>
      </c>
      <c r="P97">
        <v>0.76827735566056199</v>
      </c>
    </row>
    <row r="98" spans="1:16" x14ac:dyDescent="0.25">
      <c r="A98">
        <v>53</v>
      </c>
      <c r="B98">
        <v>2021</v>
      </c>
      <c r="C98">
        <v>7</v>
      </c>
      <c r="D98">
        <v>1</v>
      </c>
      <c r="E98">
        <v>0</v>
      </c>
      <c r="F98">
        <v>1</v>
      </c>
      <c r="G98">
        <v>2</v>
      </c>
      <c r="H98" t="s">
        <v>225</v>
      </c>
      <c r="I98" t="s">
        <v>37</v>
      </c>
      <c r="J98" s="54" t="s">
        <v>220</v>
      </c>
      <c r="L98">
        <v>1000</v>
      </c>
      <c r="M98">
        <v>8.3756000000000004</v>
      </c>
      <c r="N98">
        <v>1</v>
      </c>
      <c r="O98">
        <v>119.394431443717</v>
      </c>
      <c r="P98">
        <v>2.03531169831321</v>
      </c>
    </row>
    <row r="99" spans="1:16" x14ac:dyDescent="0.25">
      <c r="A99">
        <v>54</v>
      </c>
      <c r="B99">
        <v>2021</v>
      </c>
      <c r="C99">
        <v>7</v>
      </c>
      <c r="D99">
        <v>1</v>
      </c>
      <c r="E99">
        <v>0</v>
      </c>
      <c r="F99">
        <v>1</v>
      </c>
      <c r="G99">
        <v>3</v>
      </c>
      <c r="H99" t="s">
        <v>226</v>
      </c>
      <c r="I99" t="s">
        <v>248</v>
      </c>
      <c r="J99">
        <v>5218</v>
      </c>
      <c r="L99">
        <v>1000</v>
      </c>
      <c r="M99">
        <v>13.3057</v>
      </c>
      <c r="N99">
        <v>1</v>
      </c>
      <c r="O99">
        <v>75.155760313249203</v>
      </c>
      <c r="P99">
        <v>0.83122061412608705</v>
      </c>
    </row>
    <row r="100" spans="1:16" x14ac:dyDescent="0.25">
      <c r="A100">
        <v>55</v>
      </c>
      <c r="B100">
        <v>2021</v>
      </c>
      <c r="C100">
        <v>7</v>
      </c>
      <c r="D100">
        <v>1</v>
      </c>
      <c r="E100">
        <v>0</v>
      </c>
      <c r="F100">
        <v>1</v>
      </c>
      <c r="G100">
        <v>4</v>
      </c>
      <c r="H100" t="s">
        <v>213</v>
      </c>
      <c r="I100" t="s">
        <v>248</v>
      </c>
      <c r="J100">
        <v>4764</v>
      </c>
      <c r="K100" t="s">
        <v>242</v>
      </c>
    </row>
    <row r="101" spans="1:16" x14ac:dyDescent="0.25">
      <c r="A101">
        <v>56</v>
      </c>
      <c r="B101">
        <v>2021</v>
      </c>
      <c r="C101">
        <v>7</v>
      </c>
      <c r="D101">
        <v>1</v>
      </c>
      <c r="E101">
        <v>0</v>
      </c>
      <c r="F101">
        <v>1</v>
      </c>
      <c r="G101">
        <v>5</v>
      </c>
      <c r="H101" t="s">
        <v>225</v>
      </c>
      <c r="I101" t="s">
        <v>37</v>
      </c>
      <c r="J101" s="54" t="s">
        <v>220</v>
      </c>
      <c r="K101" t="s">
        <v>242</v>
      </c>
    </row>
    <row r="102" spans="1:16" x14ac:dyDescent="0.25">
      <c r="A102">
        <v>57</v>
      </c>
      <c r="B102">
        <v>2021</v>
      </c>
      <c r="C102">
        <v>7</v>
      </c>
      <c r="D102">
        <v>1</v>
      </c>
      <c r="E102">
        <v>0</v>
      </c>
      <c r="F102">
        <v>1</v>
      </c>
      <c r="G102">
        <v>6</v>
      </c>
      <c r="H102" t="s">
        <v>226</v>
      </c>
      <c r="I102" t="s">
        <v>248</v>
      </c>
      <c r="J102">
        <v>5218</v>
      </c>
      <c r="K102" t="s">
        <v>242</v>
      </c>
    </row>
    <row r="103" spans="1:16" x14ac:dyDescent="0.25">
      <c r="A103">
        <v>58</v>
      </c>
      <c r="B103">
        <v>2021</v>
      </c>
      <c r="C103">
        <v>7</v>
      </c>
      <c r="D103">
        <v>1</v>
      </c>
      <c r="E103">
        <v>0</v>
      </c>
      <c r="F103">
        <v>1</v>
      </c>
      <c r="G103">
        <v>7</v>
      </c>
      <c r="H103" t="s">
        <v>213</v>
      </c>
      <c r="I103" t="s">
        <v>248</v>
      </c>
      <c r="J103">
        <v>4764</v>
      </c>
      <c r="K103" t="s">
        <v>238</v>
      </c>
      <c r="L103">
        <v>1000</v>
      </c>
      <c r="M103">
        <v>16.6112</v>
      </c>
      <c r="N103">
        <v>1</v>
      </c>
      <c r="O103">
        <v>60.200346753997302</v>
      </c>
      <c r="P103">
        <v>0.76827735566056199</v>
      </c>
    </row>
    <row r="104" spans="1:16" x14ac:dyDescent="0.25">
      <c r="A104">
        <v>59</v>
      </c>
      <c r="B104">
        <v>2021</v>
      </c>
      <c r="C104">
        <v>7</v>
      </c>
      <c r="D104">
        <v>1</v>
      </c>
      <c r="E104">
        <v>0</v>
      </c>
      <c r="F104">
        <v>1</v>
      </c>
      <c r="G104">
        <v>8</v>
      </c>
      <c r="H104" t="s">
        <v>225</v>
      </c>
      <c r="I104" t="s">
        <v>37</v>
      </c>
      <c r="J104" s="54" t="s">
        <v>220</v>
      </c>
      <c r="K104" t="s">
        <v>238</v>
      </c>
      <c r="L104">
        <v>1000</v>
      </c>
      <c r="M104">
        <v>8.3756000000000004</v>
      </c>
      <c r="N104">
        <v>1</v>
      </c>
      <c r="O104">
        <v>119.394431443717</v>
      </c>
      <c r="P104">
        <v>2.03531169831321</v>
      </c>
    </row>
    <row r="105" spans="1:16" x14ac:dyDescent="0.25">
      <c r="A105">
        <v>60</v>
      </c>
      <c r="B105">
        <v>2021</v>
      </c>
      <c r="C105">
        <v>7</v>
      </c>
      <c r="D105">
        <v>1</v>
      </c>
      <c r="E105">
        <v>0</v>
      </c>
      <c r="F105">
        <v>1</v>
      </c>
      <c r="G105">
        <v>9</v>
      </c>
      <c r="H105" t="s">
        <v>226</v>
      </c>
      <c r="I105" t="s">
        <v>248</v>
      </c>
      <c r="J105">
        <v>5218</v>
      </c>
      <c r="K105" t="s">
        <v>238</v>
      </c>
      <c r="L105">
        <v>1000</v>
      </c>
      <c r="M105">
        <v>13.3057</v>
      </c>
      <c r="N105">
        <v>1</v>
      </c>
      <c r="O105">
        <v>75.155760313249203</v>
      </c>
      <c r="P105">
        <v>0.83122061412608705</v>
      </c>
    </row>
    <row r="106" spans="1:16" x14ac:dyDescent="0.25">
      <c r="A106">
        <v>61</v>
      </c>
      <c r="B106">
        <v>2021</v>
      </c>
      <c r="C106">
        <v>7</v>
      </c>
      <c r="D106">
        <v>1</v>
      </c>
      <c r="E106">
        <v>0</v>
      </c>
      <c r="F106">
        <v>1</v>
      </c>
      <c r="G106">
        <v>10</v>
      </c>
      <c r="H106" t="s">
        <v>228</v>
      </c>
      <c r="I106" t="s">
        <v>21</v>
      </c>
      <c r="J106" t="s">
        <v>21</v>
      </c>
      <c r="L106">
        <v>1000</v>
      </c>
      <c r="M106">
        <v>1000</v>
      </c>
      <c r="N106">
        <v>1</v>
      </c>
      <c r="O106">
        <v>1</v>
      </c>
      <c r="P106">
        <v>1</v>
      </c>
    </row>
    <row r="107" spans="1:16" x14ac:dyDescent="0.25">
      <c r="A107">
        <v>62</v>
      </c>
      <c r="B107">
        <v>2021</v>
      </c>
      <c r="C107">
        <v>7</v>
      </c>
      <c r="D107">
        <v>1</v>
      </c>
      <c r="E107">
        <v>0</v>
      </c>
      <c r="F107">
        <v>1</v>
      </c>
      <c r="G107">
        <v>11</v>
      </c>
      <c r="H107" t="s">
        <v>213</v>
      </c>
      <c r="I107" t="s">
        <v>248</v>
      </c>
      <c r="J107">
        <v>4764</v>
      </c>
      <c r="K107" t="s">
        <v>244</v>
      </c>
      <c r="L107">
        <v>1000</v>
      </c>
      <c r="M107">
        <v>1000</v>
      </c>
      <c r="N107">
        <v>1</v>
      </c>
      <c r="O107">
        <v>1</v>
      </c>
      <c r="P107">
        <v>5</v>
      </c>
    </row>
    <row r="108" spans="1:16" x14ac:dyDescent="0.25">
      <c r="A108">
        <v>63</v>
      </c>
      <c r="B108">
        <v>2021</v>
      </c>
      <c r="C108">
        <v>7</v>
      </c>
      <c r="D108">
        <v>1</v>
      </c>
      <c r="E108">
        <v>0</v>
      </c>
      <c r="F108">
        <v>1</v>
      </c>
      <c r="G108">
        <v>12</v>
      </c>
      <c r="H108" t="s">
        <v>226</v>
      </c>
      <c r="I108" t="s">
        <v>248</v>
      </c>
      <c r="J108">
        <v>5218</v>
      </c>
      <c r="K108" t="s">
        <v>244</v>
      </c>
      <c r="L108">
        <v>1000</v>
      </c>
      <c r="M108">
        <v>1000</v>
      </c>
      <c r="N108">
        <v>1</v>
      </c>
      <c r="O108">
        <v>1</v>
      </c>
      <c r="P108">
        <v>1</v>
      </c>
    </row>
    <row r="109" spans="1:16" x14ac:dyDescent="0.25">
      <c r="A109">
        <v>64</v>
      </c>
      <c r="B109">
        <v>2021</v>
      </c>
      <c r="C109">
        <v>7</v>
      </c>
      <c r="D109">
        <v>1</v>
      </c>
      <c r="E109">
        <v>0</v>
      </c>
      <c r="F109">
        <v>1</v>
      </c>
      <c r="G109">
        <v>13</v>
      </c>
      <c r="I109" t="s">
        <v>75</v>
      </c>
    </row>
    <row r="110" spans="1:16" x14ac:dyDescent="0.25">
      <c r="A110">
        <v>18</v>
      </c>
      <c r="B110">
        <v>2020</v>
      </c>
      <c r="C110">
        <v>1</v>
      </c>
      <c r="D110">
        <v>1</v>
      </c>
      <c r="E110">
        <v>0</v>
      </c>
      <c r="F110">
        <v>1</v>
      </c>
      <c r="G110">
        <v>1</v>
      </c>
      <c r="H110" t="s">
        <v>213</v>
      </c>
      <c r="I110" t="s">
        <v>34</v>
      </c>
      <c r="J110" t="s">
        <v>217</v>
      </c>
      <c r="L110">
        <v>7.0324971694198899</v>
      </c>
      <c r="M110">
        <v>7.0164</v>
      </c>
      <c r="N110">
        <v>142.197</v>
      </c>
      <c r="O110">
        <v>142.5232312867</v>
      </c>
      <c r="P110">
        <v>1.67449813656697</v>
      </c>
    </row>
    <row r="111" spans="1:16" x14ac:dyDescent="0.25">
      <c r="A111">
        <v>19</v>
      </c>
      <c r="B111">
        <v>2020</v>
      </c>
      <c r="C111">
        <v>1</v>
      </c>
      <c r="D111">
        <v>1</v>
      </c>
      <c r="E111">
        <v>0</v>
      </c>
      <c r="F111">
        <v>1</v>
      </c>
      <c r="G111">
        <v>2</v>
      </c>
      <c r="H111" t="s">
        <v>225</v>
      </c>
      <c r="I111" t="s">
        <v>37</v>
      </c>
      <c r="J111" s="54" t="s">
        <v>220</v>
      </c>
      <c r="L111">
        <v>8.4133300801790405</v>
      </c>
      <c r="M111">
        <v>8.3513999999999999</v>
      </c>
      <c r="N111">
        <v>118.85899999999999</v>
      </c>
      <c r="O111">
        <v>119.740402806715</v>
      </c>
      <c r="P111">
        <v>1.9286659923145</v>
      </c>
    </row>
    <row r="112" spans="1:16" x14ac:dyDescent="0.25">
      <c r="A112">
        <v>20</v>
      </c>
      <c r="B112">
        <v>2020</v>
      </c>
      <c r="C112">
        <v>1</v>
      </c>
      <c r="D112">
        <v>1</v>
      </c>
      <c r="E112">
        <v>0</v>
      </c>
      <c r="F112">
        <v>1</v>
      </c>
      <c r="G112">
        <v>3</v>
      </c>
      <c r="I112" t="s">
        <v>228</v>
      </c>
      <c r="J112" t="s">
        <v>21</v>
      </c>
      <c r="L112">
        <v>1000</v>
      </c>
      <c r="M112">
        <v>1000</v>
      </c>
      <c r="N112">
        <v>1</v>
      </c>
      <c r="O112">
        <v>1</v>
      </c>
      <c r="P112">
        <v>1</v>
      </c>
    </row>
    <row r="113" spans="1:16" x14ac:dyDescent="0.25">
      <c r="A113">
        <v>21</v>
      </c>
      <c r="B113">
        <v>2020</v>
      </c>
      <c r="C113">
        <v>1</v>
      </c>
      <c r="D113">
        <v>1</v>
      </c>
      <c r="E113">
        <v>0</v>
      </c>
      <c r="F113">
        <v>1</v>
      </c>
      <c r="G113">
        <v>4</v>
      </c>
      <c r="I113" t="s">
        <v>75</v>
      </c>
    </row>
    <row r="114" spans="1:16" x14ac:dyDescent="0.25">
      <c r="A114">
        <v>22</v>
      </c>
      <c r="B114">
        <v>2020</v>
      </c>
      <c r="C114">
        <v>8</v>
      </c>
      <c r="D114">
        <v>1</v>
      </c>
      <c r="E114">
        <v>0</v>
      </c>
      <c r="F114">
        <v>1</v>
      </c>
      <c r="G114">
        <v>1</v>
      </c>
      <c r="H114" t="s">
        <v>213</v>
      </c>
      <c r="I114" t="s">
        <v>34</v>
      </c>
      <c r="J114" t="s">
        <v>217</v>
      </c>
      <c r="L114">
        <v>1000</v>
      </c>
      <c r="M114">
        <v>7.0164</v>
      </c>
      <c r="N114">
        <v>1</v>
      </c>
      <c r="O114">
        <v>142.5232312867</v>
      </c>
      <c r="P114">
        <v>1.67449813656697</v>
      </c>
    </row>
    <row r="115" spans="1:16" x14ac:dyDescent="0.25">
      <c r="A115">
        <v>23</v>
      </c>
      <c r="B115">
        <v>2020</v>
      </c>
      <c r="C115">
        <v>8</v>
      </c>
      <c r="D115">
        <v>1</v>
      </c>
      <c r="E115">
        <v>0</v>
      </c>
      <c r="F115">
        <v>1</v>
      </c>
      <c r="G115">
        <v>2</v>
      </c>
      <c r="H115" t="s">
        <v>225</v>
      </c>
      <c r="I115" t="s">
        <v>37</v>
      </c>
      <c r="J115" s="54" t="s">
        <v>220</v>
      </c>
      <c r="L115">
        <v>1000</v>
      </c>
      <c r="M115">
        <v>8.3513999999999999</v>
      </c>
      <c r="N115">
        <v>1</v>
      </c>
      <c r="O115">
        <v>119.740402806715</v>
      </c>
      <c r="P115">
        <v>1.9286659923145</v>
      </c>
    </row>
    <row r="116" spans="1:16" x14ac:dyDescent="0.25">
      <c r="A116">
        <v>24</v>
      </c>
      <c r="B116">
        <v>2020</v>
      </c>
      <c r="C116">
        <v>8</v>
      </c>
      <c r="D116">
        <v>1</v>
      </c>
      <c r="E116">
        <v>0</v>
      </c>
      <c r="F116">
        <v>1</v>
      </c>
      <c r="G116">
        <v>3</v>
      </c>
      <c r="H116" t="s">
        <v>226</v>
      </c>
      <c r="I116" t="s">
        <v>86</v>
      </c>
      <c r="J116" t="s">
        <v>218</v>
      </c>
      <c r="L116">
        <v>1000</v>
      </c>
      <c r="M116">
        <v>8.4176000000000002</v>
      </c>
      <c r="N116">
        <v>1</v>
      </c>
      <c r="O116">
        <v>118.79870747006299</v>
      </c>
      <c r="P116">
        <v>2.2908047722416698</v>
      </c>
    </row>
    <row r="117" spans="1:16" x14ac:dyDescent="0.25">
      <c r="A117">
        <v>25</v>
      </c>
      <c r="B117">
        <v>2020</v>
      </c>
      <c r="C117">
        <v>8</v>
      </c>
      <c r="D117">
        <v>1</v>
      </c>
      <c r="E117">
        <v>0</v>
      </c>
      <c r="F117">
        <v>1</v>
      </c>
      <c r="G117">
        <v>4</v>
      </c>
      <c r="H117" t="s">
        <v>230</v>
      </c>
      <c r="I117" t="s">
        <v>231</v>
      </c>
      <c r="J117" t="s">
        <v>219</v>
      </c>
    </row>
    <row r="118" spans="1:16" x14ac:dyDescent="0.25">
      <c r="A118">
        <v>26</v>
      </c>
      <c r="B118">
        <v>2020</v>
      </c>
      <c r="C118">
        <v>8</v>
      </c>
      <c r="D118">
        <v>1</v>
      </c>
      <c r="E118">
        <v>0</v>
      </c>
      <c r="F118">
        <v>1</v>
      </c>
      <c r="G118">
        <v>5</v>
      </c>
      <c r="H118" t="s">
        <v>230</v>
      </c>
      <c r="I118" t="s">
        <v>232</v>
      </c>
      <c r="J118" t="s">
        <v>219</v>
      </c>
    </row>
    <row r="119" spans="1:16" x14ac:dyDescent="0.25">
      <c r="A119">
        <v>27</v>
      </c>
      <c r="B119">
        <v>2020</v>
      </c>
      <c r="C119">
        <v>8</v>
      </c>
      <c r="D119">
        <v>1</v>
      </c>
      <c r="E119">
        <v>0</v>
      </c>
      <c r="F119">
        <v>1</v>
      </c>
      <c r="G119">
        <v>6</v>
      </c>
      <c r="H119" t="s">
        <v>230</v>
      </c>
      <c r="I119" t="s">
        <v>233</v>
      </c>
      <c r="J119" t="s">
        <v>219</v>
      </c>
    </row>
    <row r="120" spans="1:16" x14ac:dyDescent="0.25">
      <c r="A120">
        <v>28</v>
      </c>
      <c r="B120">
        <v>2020</v>
      </c>
      <c r="C120">
        <v>8</v>
      </c>
      <c r="D120">
        <v>1</v>
      </c>
      <c r="E120">
        <v>0</v>
      </c>
      <c r="F120">
        <v>1</v>
      </c>
      <c r="G120">
        <v>7</v>
      </c>
      <c r="H120" t="s">
        <v>213</v>
      </c>
      <c r="I120" t="s">
        <v>238</v>
      </c>
      <c r="J120" t="s">
        <v>217</v>
      </c>
      <c r="L120">
        <v>1000</v>
      </c>
      <c r="M120">
        <v>7.0164</v>
      </c>
      <c r="N120">
        <v>1</v>
      </c>
      <c r="O120">
        <v>142.5232312867</v>
      </c>
      <c r="P120">
        <v>1.67449813656697</v>
      </c>
    </row>
    <row r="121" spans="1:16" x14ac:dyDescent="0.25">
      <c r="A121">
        <v>28.5</v>
      </c>
      <c r="B121">
        <v>2020</v>
      </c>
      <c r="C121">
        <v>8</v>
      </c>
      <c r="D121">
        <v>1</v>
      </c>
      <c r="E121">
        <v>0</v>
      </c>
      <c r="F121">
        <v>1</v>
      </c>
      <c r="G121">
        <v>7.5</v>
      </c>
      <c r="H121" t="s">
        <v>213</v>
      </c>
      <c r="I121" t="s">
        <v>238</v>
      </c>
      <c r="J121" t="s">
        <v>218</v>
      </c>
      <c r="L121">
        <v>1000</v>
      </c>
      <c r="M121">
        <v>8.4176000000000002</v>
      </c>
      <c r="N121">
        <v>1</v>
      </c>
      <c r="O121">
        <v>118.79870747006299</v>
      </c>
      <c r="P121">
        <v>2.2908047722416698</v>
      </c>
    </row>
    <row r="122" spans="1:16" x14ac:dyDescent="0.25">
      <c r="A122">
        <v>29</v>
      </c>
      <c r="B122">
        <v>2020</v>
      </c>
      <c r="C122">
        <v>8</v>
      </c>
      <c r="D122">
        <v>1</v>
      </c>
      <c r="E122">
        <v>0</v>
      </c>
      <c r="F122">
        <v>1</v>
      </c>
      <c r="G122">
        <v>8</v>
      </c>
      <c r="H122" t="s">
        <v>225</v>
      </c>
      <c r="I122" t="s">
        <v>238</v>
      </c>
      <c r="J122" s="54" t="s">
        <v>220</v>
      </c>
      <c r="L122">
        <v>1000</v>
      </c>
      <c r="M122">
        <v>8.3513999999999999</v>
      </c>
      <c r="N122">
        <v>1</v>
      </c>
      <c r="O122">
        <v>119.740402806715</v>
      </c>
      <c r="P122">
        <v>1.9286659923145</v>
      </c>
    </row>
    <row r="123" spans="1:16" x14ac:dyDescent="0.25">
      <c r="A123">
        <v>30</v>
      </c>
      <c r="B123">
        <v>2020</v>
      </c>
      <c r="C123">
        <v>8</v>
      </c>
      <c r="D123">
        <v>1</v>
      </c>
      <c r="E123">
        <v>0</v>
      </c>
      <c r="F123">
        <v>1</v>
      </c>
      <c r="G123">
        <v>9</v>
      </c>
      <c r="H123" t="s">
        <v>226</v>
      </c>
      <c r="I123" t="s">
        <v>238</v>
      </c>
      <c r="J123" t="s">
        <v>218</v>
      </c>
      <c r="L123">
        <v>1000</v>
      </c>
      <c r="M123">
        <v>8.4176000000000002</v>
      </c>
      <c r="N123">
        <v>1</v>
      </c>
      <c r="O123">
        <v>118.79870747006299</v>
      </c>
      <c r="P123">
        <v>2.2908047722416698</v>
      </c>
    </row>
    <row r="124" spans="1:16" x14ac:dyDescent="0.25">
      <c r="A124">
        <v>31</v>
      </c>
      <c r="B124">
        <v>2020</v>
      </c>
      <c r="C124">
        <v>8</v>
      </c>
      <c r="D124">
        <v>1</v>
      </c>
      <c r="E124">
        <v>0</v>
      </c>
      <c r="F124">
        <v>1</v>
      </c>
      <c r="G124">
        <v>10</v>
      </c>
      <c r="H124" t="s">
        <v>230</v>
      </c>
      <c r="I124" t="s">
        <v>234</v>
      </c>
      <c r="J124" t="s">
        <v>219</v>
      </c>
      <c r="L124">
        <v>1000</v>
      </c>
      <c r="M124">
        <v>1000</v>
      </c>
      <c r="N124">
        <v>1</v>
      </c>
      <c r="O124">
        <v>1</v>
      </c>
      <c r="P124">
        <v>5</v>
      </c>
    </row>
    <row r="125" spans="1:16" x14ac:dyDescent="0.25">
      <c r="A125">
        <v>32</v>
      </c>
      <c r="B125">
        <v>2020</v>
      </c>
      <c r="C125">
        <v>8</v>
      </c>
      <c r="D125">
        <v>1</v>
      </c>
      <c r="E125">
        <v>0</v>
      </c>
      <c r="F125">
        <v>1</v>
      </c>
      <c r="G125">
        <v>11</v>
      </c>
      <c r="H125" t="s">
        <v>230</v>
      </c>
      <c r="I125" t="s">
        <v>235</v>
      </c>
      <c r="J125" t="s">
        <v>219</v>
      </c>
      <c r="L125">
        <v>1000</v>
      </c>
      <c r="M125">
        <v>1000</v>
      </c>
      <c r="N125">
        <v>1</v>
      </c>
      <c r="O125">
        <v>1</v>
      </c>
      <c r="P125">
        <v>5</v>
      </c>
    </row>
    <row r="126" spans="1:16" x14ac:dyDescent="0.25">
      <c r="A126">
        <v>33</v>
      </c>
      <c r="B126">
        <v>2020</v>
      </c>
      <c r="C126">
        <v>8</v>
      </c>
      <c r="D126">
        <v>1</v>
      </c>
      <c r="E126">
        <v>0</v>
      </c>
      <c r="F126">
        <v>1</v>
      </c>
      <c r="G126">
        <v>12</v>
      </c>
      <c r="H126" t="s">
        <v>230</v>
      </c>
      <c r="I126" t="s">
        <v>236</v>
      </c>
      <c r="J126" t="s">
        <v>219</v>
      </c>
      <c r="L126">
        <v>1000</v>
      </c>
      <c r="M126">
        <v>1000</v>
      </c>
      <c r="N126">
        <v>1</v>
      </c>
      <c r="O126">
        <v>1</v>
      </c>
      <c r="P126">
        <v>1</v>
      </c>
    </row>
    <row r="127" spans="1:16" x14ac:dyDescent="0.25">
      <c r="A127">
        <v>34</v>
      </c>
      <c r="B127">
        <v>2020</v>
      </c>
      <c r="C127">
        <v>8</v>
      </c>
      <c r="D127">
        <v>1</v>
      </c>
      <c r="E127">
        <v>0</v>
      </c>
      <c r="F127">
        <v>1</v>
      </c>
      <c r="G127">
        <v>13</v>
      </c>
      <c r="H127" t="s">
        <v>230</v>
      </c>
      <c r="I127" t="s">
        <v>237</v>
      </c>
      <c r="J127" t="s">
        <v>219</v>
      </c>
      <c r="L127">
        <v>1000</v>
      </c>
      <c r="M127">
        <v>1000</v>
      </c>
      <c r="N127">
        <v>1</v>
      </c>
      <c r="O127">
        <v>1</v>
      </c>
      <c r="P127">
        <v>1</v>
      </c>
    </row>
    <row r="128" spans="1:16" x14ac:dyDescent="0.25">
      <c r="A128">
        <v>35</v>
      </c>
      <c r="B128">
        <v>2020</v>
      </c>
      <c r="C128">
        <v>8</v>
      </c>
      <c r="D128">
        <v>1</v>
      </c>
      <c r="E128">
        <v>0</v>
      </c>
      <c r="F128">
        <v>1</v>
      </c>
      <c r="G128">
        <v>14</v>
      </c>
      <c r="I128" t="s">
        <v>228</v>
      </c>
      <c r="J128" t="s">
        <v>21</v>
      </c>
      <c r="L128">
        <v>1000</v>
      </c>
      <c r="M128">
        <v>1000</v>
      </c>
      <c r="N128">
        <v>1</v>
      </c>
      <c r="O128">
        <v>1</v>
      </c>
      <c r="P128">
        <v>1</v>
      </c>
    </row>
    <row r="129" spans="1:16" x14ac:dyDescent="0.25">
      <c r="A129">
        <v>36</v>
      </c>
      <c r="B129">
        <v>2020</v>
      </c>
      <c r="C129">
        <v>8</v>
      </c>
      <c r="D129">
        <v>1</v>
      </c>
      <c r="E129">
        <v>0</v>
      </c>
      <c r="F129">
        <v>1</v>
      </c>
      <c r="G129">
        <v>15</v>
      </c>
      <c r="I129" t="s">
        <v>75</v>
      </c>
    </row>
    <row r="130" spans="1:16" x14ac:dyDescent="0.25">
      <c r="A130">
        <v>15</v>
      </c>
      <c r="B130">
        <v>2019</v>
      </c>
      <c r="C130">
        <v>1</v>
      </c>
      <c r="D130">
        <v>1</v>
      </c>
      <c r="E130">
        <v>0</v>
      </c>
      <c r="F130">
        <v>1</v>
      </c>
      <c r="G130">
        <v>1</v>
      </c>
      <c r="H130" t="s">
        <v>213</v>
      </c>
      <c r="I130" t="s">
        <v>34</v>
      </c>
      <c r="J130" t="s">
        <v>217</v>
      </c>
      <c r="L130">
        <v>7.0324971694198899</v>
      </c>
      <c r="M130">
        <v>7.0243000000000002</v>
      </c>
      <c r="N130">
        <v>142.197</v>
      </c>
      <c r="O130">
        <v>142.362940079439</v>
      </c>
      <c r="P130">
        <v>1.67262493287749</v>
      </c>
    </row>
    <row r="131" spans="1:16" x14ac:dyDescent="0.25">
      <c r="A131">
        <v>16</v>
      </c>
      <c r="B131">
        <v>2019</v>
      </c>
      <c r="C131">
        <v>1</v>
      </c>
      <c r="D131">
        <v>1</v>
      </c>
      <c r="E131">
        <v>0</v>
      </c>
      <c r="F131">
        <v>1</v>
      </c>
      <c r="G131">
        <v>2</v>
      </c>
      <c r="H131" t="s">
        <v>225</v>
      </c>
      <c r="I131" t="s">
        <v>37</v>
      </c>
      <c r="J131" s="54" t="s">
        <v>220</v>
      </c>
      <c r="L131">
        <v>8.4133300801790405</v>
      </c>
      <c r="M131">
        <v>8.3513999999999999</v>
      </c>
      <c r="N131">
        <v>118.85899999999999</v>
      </c>
      <c r="O131">
        <v>119.740402806715</v>
      </c>
      <c r="P131">
        <v>1.9286659923145</v>
      </c>
    </row>
    <row r="132" spans="1:16" x14ac:dyDescent="0.25">
      <c r="A132">
        <v>17</v>
      </c>
      <c r="B132">
        <v>2019</v>
      </c>
      <c r="C132">
        <v>1</v>
      </c>
      <c r="D132">
        <v>1</v>
      </c>
      <c r="E132">
        <v>0</v>
      </c>
      <c r="F132">
        <v>1</v>
      </c>
      <c r="G132">
        <v>3</v>
      </c>
      <c r="I132" t="s">
        <v>228</v>
      </c>
      <c r="J132" t="s">
        <v>21</v>
      </c>
      <c r="L132">
        <v>1000</v>
      </c>
      <c r="M132">
        <v>1000</v>
      </c>
      <c r="N132">
        <v>1</v>
      </c>
      <c r="O132">
        <v>1</v>
      </c>
      <c r="P132">
        <v>1</v>
      </c>
    </row>
    <row r="133" spans="1:16" x14ac:dyDescent="0.25">
      <c r="A133">
        <v>12</v>
      </c>
      <c r="B133">
        <v>2018</v>
      </c>
      <c r="C133">
        <v>1</v>
      </c>
      <c r="D133">
        <v>1</v>
      </c>
      <c r="E133">
        <v>0</v>
      </c>
      <c r="F133">
        <v>1</v>
      </c>
      <c r="G133">
        <v>1</v>
      </c>
      <c r="H133" t="s">
        <v>213</v>
      </c>
      <c r="I133" t="s">
        <v>34</v>
      </c>
      <c r="J133" t="s">
        <v>217</v>
      </c>
      <c r="L133">
        <v>7.0324971694198899</v>
      </c>
      <c r="M133">
        <v>7.0320999999999998</v>
      </c>
      <c r="N133">
        <v>142.197</v>
      </c>
      <c r="O133">
        <v>142.20503121400401</v>
      </c>
      <c r="P133">
        <v>1.67075591548251</v>
      </c>
    </row>
    <row r="134" spans="1:16" x14ac:dyDescent="0.25">
      <c r="A134">
        <v>13</v>
      </c>
      <c r="B134">
        <v>2018</v>
      </c>
      <c r="C134">
        <v>1</v>
      </c>
      <c r="D134">
        <v>1</v>
      </c>
      <c r="E134">
        <v>0</v>
      </c>
      <c r="F134">
        <v>1</v>
      </c>
      <c r="G134">
        <v>2</v>
      </c>
      <c r="H134" t="s">
        <v>225</v>
      </c>
      <c r="I134" t="s">
        <v>37</v>
      </c>
      <c r="J134" s="54" t="s">
        <v>220</v>
      </c>
      <c r="L134">
        <v>8.4133300801790405</v>
      </c>
      <c r="M134">
        <v>8.3513999999999999</v>
      </c>
      <c r="N134">
        <v>118.85899999999999</v>
      </c>
      <c r="O134">
        <v>119.740402806715</v>
      </c>
      <c r="P134">
        <v>1.9286659923145</v>
      </c>
    </row>
    <row r="135" spans="1:16" x14ac:dyDescent="0.25">
      <c r="A135">
        <v>14</v>
      </c>
      <c r="B135">
        <v>2018</v>
      </c>
      <c r="C135">
        <v>1</v>
      </c>
      <c r="D135">
        <v>1</v>
      </c>
      <c r="E135">
        <v>0</v>
      </c>
      <c r="F135">
        <v>1</v>
      </c>
      <c r="G135">
        <v>3</v>
      </c>
      <c r="I135" t="s">
        <v>228</v>
      </c>
      <c r="J135" t="s">
        <v>21</v>
      </c>
      <c r="L135">
        <v>1000</v>
      </c>
      <c r="M135">
        <v>1000</v>
      </c>
      <c r="N135">
        <v>1</v>
      </c>
      <c r="O135">
        <v>1</v>
      </c>
      <c r="P135">
        <v>1</v>
      </c>
    </row>
    <row r="136" spans="1:16" x14ac:dyDescent="0.25">
      <c r="A136">
        <v>6</v>
      </c>
      <c r="B136">
        <v>2017</v>
      </c>
      <c r="C136">
        <v>1</v>
      </c>
      <c r="D136">
        <v>1</v>
      </c>
      <c r="E136">
        <v>0</v>
      </c>
      <c r="F136">
        <v>1</v>
      </c>
      <c r="G136">
        <v>1</v>
      </c>
      <c r="H136" t="s">
        <v>213</v>
      </c>
      <c r="I136" t="s">
        <v>35</v>
      </c>
      <c r="J136" t="s">
        <v>216</v>
      </c>
      <c r="L136">
        <v>8.3229989429791296</v>
      </c>
      <c r="M136">
        <v>8.2759</v>
      </c>
      <c r="N136">
        <v>120.149</v>
      </c>
      <c r="O136">
        <v>120.832779516427</v>
      </c>
      <c r="P136">
        <v>1.6226717989921</v>
      </c>
    </row>
    <row r="137" spans="1:16" x14ac:dyDescent="0.25">
      <c r="A137">
        <v>7</v>
      </c>
      <c r="B137">
        <v>2017</v>
      </c>
      <c r="C137">
        <v>1</v>
      </c>
      <c r="D137">
        <v>1</v>
      </c>
      <c r="E137">
        <v>0</v>
      </c>
      <c r="F137">
        <v>1</v>
      </c>
      <c r="G137">
        <v>2</v>
      </c>
      <c r="H137" t="s">
        <v>225</v>
      </c>
      <c r="I137" t="s">
        <v>37</v>
      </c>
      <c r="J137" s="54" t="s">
        <v>220</v>
      </c>
      <c r="L137">
        <v>8.4133300801790405</v>
      </c>
      <c r="M137">
        <v>8.3513999999999999</v>
      </c>
      <c r="N137">
        <v>118.85899999999999</v>
      </c>
      <c r="O137">
        <v>119.740402806715</v>
      </c>
      <c r="P137">
        <v>1.9286659923145</v>
      </c>
    </row>
    <row r="138" spans="1:16" x14ac:dyDescent="0.25">
      <c r="A138">
        <v>8</v>
      </c>
      <c r="B138">
        <v>2017</v>
      </c>
      <c r="C138">
        <v>1</v>
      </c>
      <c r="D138">
        <v>1</v>
      </c>
      <c r="E138">
        <v>0</v>
      </c>
      <c r="F138">
        <v>1</v>
      </c>
      <c r="G138">
        <v>3</v>
      </c>
      <c r="I138" t="s">
        <v>228</v>
      </c>
      <c r="J138" t="s">
        <v>21</v>
      </c>
      <c r="L138">
        <v>1000</v>
      </c>
      <c r="M138">
        <v>1000</v>
      </c>
      <c r="N138">
        <v>1</v>
      </c>
      <c r="O138">
        <v>1</v>
      </c>
      <c r="P138">
        <v>1</v>
      </c>
    </row>
    <row r="139" spans="1:16" x14ac:dyDescent="0.25">
      <c r="A139">
        <v>9</v>
      </c>
      <c r="B139">
        <v>2017</v>
      </c>
      <c r="C139">
        <v>8</v>
      </c>
      <c r="D139">
        <v>1</v>
      </c>
      <c r="E139">
        <v>11</v>
      </c>
      <c r="F139">
        <v>40</v>
      </c>
      <c r="G139">
        <v>1</v>
      </c>
      <c r="H139" t="s">
        <v>213</v>
      </c>
      <c r="I139" t="s">
        <v>34</v>
      </c>
      <c r="J139" t="s">
        <v>217</v>
      </c>
      <c r="L139">
        <v>7.0324971694198899</v>
      </c>
      <c r="M139">
        <v>7.0361000000000002</v>
      </c>
      <c r="N139">
        <v>142.197</v>
      </c>
      <c r="O139">
        <v>142.12418811557501</v>
      </c>
      <c r="P139">
        <v>1.66982297226244</v>
      </c>
    </row>
    <row r="140" spans="1:16" x14ac:dyDescent="0.25">
      <c r="A140">
        <v>10</v>
      </c>
      <c r="B140">
        <v>2017</v>
      </c>
      <c r="C140">
        <v>8</v>
      </c>
      <c r="D140">
        <v>1</v>
      </c>
      <c r="E140">
        <v>11</v>
      </c>
      <c r="F140">
        <v>40</v>
      </c>
      <c r="G140">
        <v>2</v>
      </c>
      <c r="H140" t="s">
        <v>225</v>
      </c>
      <c r="I140" t="s">
        <v>37</v>
      </c>
      <c r="J140" s="54" t="s">
        <v>220</v>
      </c>
      <c r="L140">
        <v>8.4133300801790405</v>
      </c>
      <c r="M140">
        <v>8.3513999999999999</v>
      </c>
      <c r="N140">
        <v>118.85899999999999</v>
      </c>
      <c r="O140">
        <v>119.740402806715</v>
      </c>
      <c r="P140">
        <v>1.9286659923145</v>
      </c>
    </row>
    <row r="141" spans="1:16" x14ac:dyDescent="0.25">
      <c r="A141">
        <v>11</v>
      </c>
      <c r="B141">
        <v>2017</v>
      </c>
      <c r="C141">
        <v>8</v>
      </c>
      <c r="D141">
        <v>1</v>
      </c>
      <c r="E141">
        <v>11</v>
      </c>
      <c r="F141">
        <v>40</v>
      </c>
      <c r="G141">
        <v>3</v>
      </c>
      <c r="I141" t="s">
        <v>228</v>
      </c>
      <c r="J141" t="s">
        <v>21</v>
      </c>
      <c r="L141">
        <v>1000</v>
      </c>
      <c r="M141">
        <v>1000</v>
      </c>
      <c r="N141">
        <v>1</v>
      </c>
      <c r="O141">
        <v>1</v>
      </c>
      <c r="P141">
        <v>1</v>
      </c>
    </row>
    <row r="142" spans="1:16" x14ac:dyDescent="0.25">
      <c r="A142">
        <v>3</v>
      </c>
      <c r="B142">
        <v>2016</v>
      </c>
      <c r="C142">
        <v>1</v>
      </c>
      <c r="D142">
        <v>1</v>
      </c>
      <c r="E142">
        <v>0</v>
      </c>
      <c r="F142">
        <v>1</v>
      </c>
      <c r="G142">
        <v>1</v>
      </c>
      <c r="H142" t="s">
        <v>213</v>
      </c>
      <c r="I142" t="s">
        <v>35</v>
      </c>
      <c r="J142" t="s">
        <v>216</v>
      </c>
      <c r="L142">
        <v>8.3229989429791296</v>
      </c>
      <c r="M142">
        <v>8.2956000000000003</v>
      </c>
      <c r="N142">
        <v>120.149</v>
      </c>
      <c r="O142">
        <v>120.545831525146</v>
      </c>
      <c r="P142">
        <v>1.6188010157323101</v>
      </c>
    </row>
    <row r="143" spans="1:16" x14ac:dyDescent="0.25">
      <c r="A143">
        <v>4</v>
      </c>
      <c r="B143">
        <v>2016</v>
      </c>
      <c r="C143">
        <v>1</v>
      </c>
      <c r="D143">
        <v>1</v>
      </c>
      <c r="E143">
        <v>0</v>
      </c>
      <c r="F143">
        <v>1</v>
      </c>
      <c r="G143">
        <v>2</v>
      </c>
      <c r="H143" t="s">
        <v>225</v>
      </c>
      <c r="I143" t="s">
        <v>37</v>
      </c>
      <c r="J143" s="54" t="s">
        <v>220</v>
      </c>
      <c r="L143">
        <v>8.4133300801790405</v>
      </c>
      <c r="M143">
        <v>8.3513999999999999</v>
      </c>
      <c r="N143">
        <v>118.85899999999999</v>
      </c>
      <c r="O143">
        <v>119.740402806715</v>
      </c>
      <c r="P143">
        <v>1.9286659923145</v>
      </c>
    </row>
    <row r="144" spans="1:16" x14ac:dyDescent="0.25">
      <c r="A144">
        <v>5</v>
      </c>
      <c r="B144">
        <v>2016</v>
      </c>
      <c r="C144">
        <v>1</v>
      </c>
      <c r="D144">
        <v>1</v>
      </c>
      <c r="E144">
        <v>0</v>
      </c>
      <c r="F144">
        <v>1</v>
      </c>
      <c r="G144">
        <v>3</v>
      </c>
      <c r="I144" t="s">
        <v>228</v>
      </c>
      <c r="J144" t="s">
        <v>21</v>
      </c>
      <c r="L144">
        <v>1000</v>
      </c>
      <c r="M144">
        <v>1000</v>
      </c>
      <c r="N144">
        <v>1</v>
      </c>
      <c r="O144">
        <v>1</v>
      </c>
      <c r="P144">
        <v>1</v>
      </c>
    </row>
    <row r="145" spans="1:16" x14ac:dyDescent="0.25">
      <c r="A145">
        <v>0</v>
      </c>
      <c r="B145">
        <v>2015</v>
      </c>
      <c r="C145">
        <v>9</v>
      </c>
      <c r="D145">
        <v>30</v>
      </c>
      <c r="E145" s="52">
        <v>23</v>
      </c>
      <c r="F145" s="52">
        <v>0</v>
      </c>
      <c r="G145" s="52">
        <v>1</v>
      </c>
      <c r="H145" s="53" t="s">
        <v>213</v>
      </c>
      <c r="I145" s="53" t="s">
        <v>35</v>
      </c>
      <c r="J145" s="52" t="s">
        <v>216</v>
      </c>
      <c r="K145" s="53"/>
      <c r="L145" s="53">
        <v>8.3229989429791296</v>
      </c>
      <c r="M145" s="53">
        <v>8.3055000000000003</v>
      </c>
      <c r="N145">
        <v>120.149</v>
      </c>
      <c r="O145">
        <v>120.40214315814799</v>
      </c>
      <c r="P145" s="53">
        <v>1.6168725409881399</v>
      </c>
    </row>
    <row r="146" spans="1:16" x14ac:dyDescent="0.25">
      <c r="A146">
        <v>1</v>
      </c>
      <c r="B146">
        <v>2015</v>
      </c>
      <c r="C146">
        <v>9</v>
      </c>
      <c r="D146">
        <v>30</v>
      </c>
      <c r="E146">
        <v>23</v>
      </c>
      <c r="F146">
        <v>0</v>
      </c>
      <c r="G146">
        <v>2</v>
      </c>
      <c r="H146" t="s">
        <v>225</v>
      </c>
      <c r="I146" t="s">
        <v>37</v>
      </c>
      <c r="J146" s="54" t="s">
        <v>220</v>
      </c>
      <c r="L146">
        <v>8.4133300801790405</v>
      </c>
      <c r="M146">
        <v>8.3513999999999999</v>
      </c>
      <c r="N146">
        <v>118.85899999999999</v>
      </c>
      <c r="O146">
        <v>119.740402806715</v>
      </c>
      <c r="P146">
        <v>1.9286659923145</v>
      </c>
    </row>
    <row r="147" spans="1:16" x14ac:dyDescent="0.25">
      <c r="A147">
        <v>2</v>
      </c>
      <c r="B147">
        <v>2015</v>
      </c>
      <c r="C147">
        <v>9</v>
      </c>
      <c r="D147">
        <v>30</v>
      </c>
      <c r="E147">
        <v>23</v>
      </c>
      <c r="F147">
        <v>0</v>
      </c>
      <c r="G147">
        <v>3</v>
      </c>
      <c r="I147" t="s">
        <v>228</v>
      </c>
      <c r="J147" t="s">
        <v>21</v>
      </c>
      <c r="L147">
        <v>1000</v>
      </c>
      <c r="M147">
        <v>1000</v>
      </c>
      <c r="N147">
        <v>1</v>
      </c>
      <c r="O147">
        <v>1</v>
      </c>
      <c r="P14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C3CD-B28B-4E07-84D1-63F10D71EFF6}">
  <dimension ref="A1:O14"/>
  <sheetViews>
    <sheetView zoomScale="125" workbookViewId="0">
      <selection activeCell="I18" sqref="I18"/>
    </sheetView>
  </sheetViews>
  <sheetFormatPr defaultColWidth="8.85546875" defaultRowHeight="15" x14ac:dyDescent="0.25"/>
  <cols>
    <col min="5" max="5" width="9.7109375" customWidth="1"/>
    <col min="6" max="6" width="10" customWidth="1"/>
    <col min="7" max="7" width="14.42578125" customWidth="1"/>
    <col min="9" max="9" width="15.85546875" customWidth="1"/>
    <col min="11" max="11" width="12.7109375" customWidth="1"/>
    <col min="12" max="12" width="14.42578125" customWidth="1"/>
    <col min="13" max="13" width="13.42578125" customWidth="1"/>
    <col min="14" max="14" width="15.28515625" customWidth="1"/>
    <col min="15" max="15" width="13.42578125" customWidth="1"/>
  </cols>
  <sheetData>
    <row r="1" spans="1:15" x14ac:dyDescent="0.25">
      <c r="A1" s="60" t="s">
        <v>201</v>
      </c>
      <c r="B1" s="61" t="s">
        <v>202</v>
      </c>
      <c r="C1" s="61" t="s">
        <v>203</v>
      </c>
      <c r="D1" s="61" t="s">
        <v>204</v>
      </c>
      <c r="E1" s="61" t="s">
        <v>205</v>
      </c>
      <c r="F1" s="61" t="s">
        <v>206</v>
      </c>
      <c r="G1" s="61" t="s">
        <v>207</v>
      </c>
      <c r="H1" s="61" t="s">
        <v>208</v>
      </c>
      <c r="I1" s="61" t="s">
        <v>209</v>
      </c>
      <c r="J1" s="61" t="s">
        <v>239</v>
      </c>
      <c r="K1" s="61" t="s">
        <v>210</v>
      </c>
      <c r="L1" s="61" t="s">
        <v>211</v>
      </c>
      <c r="M1" s="61" t="s">
        <v>245</v>
      </c>
      <c r="N1" s="61" t="s">
        <v>246</v>
      </c>
      <c r="O1" s="61" t="s">
        <v>212</v>
      </c>
    </row>
    <row r="2" spans="1:15" x14ac:dyDescent="0.25">
      <c r="A2" s="57">
        <v>2015</v>
      </c>
      <c r="B2" s="57">
        <v>9</v>
      </c>
      <c r="C2" s="57">
        <v>30</v>
      </c>
      <c r="D2" s="58">
        <v>23</v>
      </c>
      <c r="E2" s="58">
        <v>0</v>
      </c>
      <c r="F2" s="58">
        <v>1</v>
      </c>
      <c r="G2" s="59" t="s">
        <v>213</v>
      </c>
      <c r="H2" s="59" t="s">
        <v>35</v>
      </c>
      <c r="I2" s="58" t="s">
        <v>216</v>
      </c>
      <c r="J2" s="59" t="s">
        <v>242</v>
      </c>
      <c r="K2" s="59">
        <v>8.3229989429791296</v>
      </c>
      <c r="L2" s="59">
        <v>8.3055000000000003</v>
      </c>
      <c r="M2" s="57">
        <v>120.149</v>
      </c>
      <c r="N2" s="57">
        <v>120.40214315814799</v>
      </c>
      <c r="O2" s="59">
        <v>1.6168725409881399</v>
      </c>
    </row>
    <row r="3" spans="1:15" x14ac:dyDescent="0.25">
      <c r="A3" s="56">
        <v>2016</v>
      </c>
      <c r="B3" s="56">
        <v>1</v>
      </c>
      <c r="C3" s="56">
        <v>1</v>
      </c>
      <c r="D3" s="56">
        <v>0</v>
      </c>
      <c r="E3" s="56">
        <v>1</v>
      </c>
      <c r="F3" s="56">
        <v>1</v>
      </c>
      <c r="G3" s="56" t="s">
        <v>213</v>
      </c>
      <c r="H3" s="56" t="s">
        <v>35</v>
      </c>
      <c r="I3" s="56" t="s">
        <v>216</v>
      </c>
      <c r="J3" s="59" t="s">
        <v>242</v>
      </c>
      <c r="K3" s="56">
        <v>8.3229989429791296</v>
      </c>
      <c r="L3" s="56">
        <v>8.2956000000000003</v>
      </c>
      <c r="M3" s="56">
        <v>120.149</v>
      </c>
      <c r="N3" s="56">
        <v>120.545831525146</v>
      </c>
      <c r="O3" s="56">
        <v>1.6188010157323101</v>
      </c>
    </row>
    <row r="4" spans="1:15" x14ac:dyDescent="0.25">
      <c r="A4" s="56">
        <v>2017</v>
      </c>
      <c r="B4" s="56">
        <v>1</v>
      </c>
      <c r="C4" s="56">
        <v>1</v>
      </c>
      <c r="D4" s="56">
        <v>0</v>
      </c>
      <c r="E4" s="56">
        <v>1</v>
      </c>
      <c r="F4" s="56">
        <v>1</v>
      </c>
      <c r="G4" s="56" t="s">
        <v>213</v>
      </c>
      <c r="H4" s="56" t="s">
        <v>35</v>
      </c>
      <c r="I4" s="56" t="s">
        <v>216</v>
      </c>
      <c r="J4" s="59" t="s">
        <v>242</v>
      </c>
      <c r="K4" s="56">
        <v>8.3229989429791296</v>
      </c>
      <c r="L4" s="56">
        <v>8.2759</v>
      </c>
      <c r="M4" s="56">
        <v>120.149</v>
      </c>
      <c r="N4" s="56">
        <v>120.832779516427</v>
      </c>
      <c r="O4" s="56">
        <v>1.6226717989921</v>
      </c>
    </row>
    <row r="5" spans="1:15" x14ac:dyDescent="0.25">
      <c r="A5" s="57">
        <v>2017</v>
      </c>
      <c r="B5" s="57">
        <v>8</v>
      </c>
      <c r="C5" s="57">
        <v>1</v>
      </c>
      <c r="D5" s="57">
        <v>11</v>
      </c>
      <c r="E5" s="57">
        <v>40</v>
      </c>
      <c r="F5" s="57">
        <v>1</v>
      </c>
      <c r="G5" s="57" t="s">
        <v>213</v>
      </c>
      <c r="H5" s="57" t="s">
        <v>34</v>
      </c>
      <c r="I5" s="57" t="s">
        <v>217</v>
      </c>
      <c r="J5" s="59" t="s">
        <v>242</v>
      </c>
      <c r="K5" s="57">
        <v>7.0324971694198899</v>
      </c>
      <c r="L5" s="57">
        <v>7.0361000000000002</v>
      </c>
      <c r="M5" s="57">
        <v>142.197</v>
      </c>
      <c r="N5" s="57">
        <v>142.12418811557501</v>
      </c>
      <c r="O5" s="57">
        <v>1.66982297226244</v>
      </c>
    </row>
    <row r="6" spans="1:15" x14ac:dyDescent="0.25">
      <c r="A6" s="57">
        <v>2018</v>
      </c>
      <c r="B6" s="57">
        <v>1</v>
      </c>
      <c r="C6" s="57">
        <v>1</v>
      </c>
      <c r="D6" s="57">
        <v>0</v>
      </c>
      <c r="E6" s="57">
        <v>1</v>
      </c>
      <c r="F6" s="57">
        <v>1</v>
      </c>
      <c r="G6" s="57" t="s">
        <v>213</v>
      </c>
      <c r="H6" s="57" t="s">
        <v>34</v>
      </c>
      <c r="I6" s="57" t="s">
        <v>217</v>
      </c>
      <c r="J6" s="59" t="s">
        <v>242</v>
      </c>
      <c r="K6" s="57">
        <v>7.0324971694198899</v>
      </c>
      <c r="L6" s="57">
        <v>7.0320999999999998</v>
      </c>
      <c r="M6" s="57">
        <v>142.197</v>
      </c>
      <c r="N6" s="57">
        <v>142.20503121400401</v>
      </c>
      <c r="O6" s="57">
        <v>1.67075591548251</v>
      </c>
    </row>
    <row r="7" spans="1:15" x14ac:dyDescent="0.25">
      <c r="A7" s="56">
        <v>2019</v>
      </c>
      <c r="B7" s="56">
        <v>1</v>
      </c>
      <c r="C7" s="56">
        <v>1</v>
      </c>
      <c r="D7" s="56">
        <v>0</v>
      </c>
      <c r="E7" s="56">
        <v>1</v>
      </c>
      <c r="F7" s="56">
        <v>1</v>
      </c>
      <c r="G7" s="56" t="s">
        <v>213</v>
      </c>
      <c r="H7" s="56" t="s">
        <v>34</v>
      </c>
      <c r="I7" s="56" t="s">
        <v>217</v>
      </c>
      <c r="J7" s="59" t="s">
        <v>242</v>
      </c>
      <c r="K7" s="56">
        <v>7.0324971694198899</v>
      </c>
      <c r="L7" s="56">
        <v>7.0243000000000002</v>
      </c>
      <c r="M7" s="56">
        <v>142.197</v>
      </c>
      <c r="N7" s="56">
        <v>142.362940079439</v>
      </c>
      <c r="O7" s="56">
        <v>1.67262493287749</v>
      </c>
    </row>
    <row r="8" spans="1:15" x14ac:dyDescent="0.25">
      <c r="A8" s="56">
        <v>2020</v>
      </c>
      <c r="B8" s="56">
        <v>1</v>
      </c>
      <c r="C8" s="56">
        <v>1</v>
      </c>
      <c r="D8" s="56">
        <v>0</v>
      </c>
      <c r="E8" s="56">
        <v>1</v>
      </c>
      <c r="F8" s="56">
        <v>1</v>
      </c>
      <c r="G8" s="56" t="s">
        <v>213</v>
      </c>
      <c r="H8" s="56" t="s">
        <v>34</v>
      </c>
      <c r="I8" s="56" t="s">
        <v>217</v>
      </c>
      <c r="J8" s="59" t="s">
        <v>242</v>
      </c>
      <c r="K8" s="56">
        <v>7.0324971694198899</v>
      </c>
      <c r="L8" s="56">
        <v>7.0164</v>
      </c>
      <c r="M8" s="56">
        <v>142.197</v>
      </c>
      <c r="N8" s="56">
        <v>142.5232312867</v>
      </c>
      <c r="O8" s="56">
        <v>1.67449813656697</v>
      </c>
    </row>
    <row r="9" spans="1:15" x14ac:dyDescent="0.25">
      <c r="A9" s="57">
        <v>2020</v>
      </c>
      <c r="B9" s="57">
        <v>8</v>
      </c>
      <c r="C9" s="57">
        <v>1</v>
      </c>
      <c r="D9" s="57">
        <v>0</v>
      </c>
      <c r="E9" s="57">
        <v>1</v>
      </c>
      <c r="F9" s="57">
        <v>1</v>
      </c>
      <c r="G9" s="57" t="s">
        <v>213</v>
      </c>
      <c r="H9" s="57" t="s">
        <v>34</v>
      </c>
      <c r="I9" s="57" t="s">
        <v>217</v>
      </c>
      <c r="J9" s="59" t="s">
        <v>272</v>
      </c>
      <c r="K9" s="57">
        <v>1000</v>
      </c>
      <c r="L9" s="57">
        <v>7.0164</v>
      </c>
      <c r="M9" s="57">
        <v>1</v>
      </c>
      <c r="N9" s="57">
        <v>142.5232312867</v>
      </c>
      <c r="O9" s="57">
        <v>1.67449813656697</v>
      </c>
    </row>
    <row r="10" spans="1:15" x14ac:dyDescent="0.25">
      <c r="A10" s="56">
        <v>2021</v>
      </c>
      <c r="B10" s="56">
        <v>1</v>
      </c>
      <c r="C10" s="56">
        <v>1</v>
      </c>
      <c r="D10" s="56">
        <v>0</v>
      </c>
      <c r="E10" s="56">
        <v>1</v>
      </c>
      <c r="F10" s="56">
        <v>1</v>
      </c>
      <c r="G10" s="56" t="s">
        <v>213</v>
      </c>
      <c r="H10" s="56" t="s">
        <v>34</v>
      </c>
      <c r="I10" s="56" t="s">
        <v>217</v>
      </c>
      <c r="J10" s="59" t="s">
        <v>272</v>
      </c>
      <c r="K10" s="56">
        <v>1000</v>
      </c>
      <c r="L10" s="56">
        <v>6.9976000000000003</v>
      </c>
      <c r="M10" s="56">
        <v>1</v>
      </c>
      <c r="N10" s="56">
        <v>142.906139247742</v>
      </c>
      <c r="O10" s="56">
        <v>1.80205774681044</v>
      </c>
    </row>
    <row r="11" spans="1:15" x14ac:dyDescent="0.25">
      <c r="A11" s="56">
        <v>2021</v>
      </c>
      <c r="B11" s="56">
        <v>7</v>
      </c>
      <c r="C11" s="56">
        <v>1</v>
      </c>
      <c r="D11" s="56">
        <v>0</v>
      </c>
      <c r="E11" s="56">
        <v>1</v>
      </c>
      <c r="F11" s="56">
        <v>1</v>
      </c>
      <c r="G11" s="56" t="s">
        <v>213</v>
      </c>
      <c r="H11" s="56" t="s">
        <v>248</v>
      </c>
      <c r="I11" s="56">
        <v>4764</v>
      </c>
      <c r="J11" s="56" t="s">
        <v>272</v>
      </c>
      <c r="K11" s="56">
        <v>1000</v>
      </c>
      <c r="L11" s="56">
        <v>16.6112</v>
      </c>
      <c r="M11" s="56">
        <v>1</v>
      </c>
      <c r="N11" s="56">
        <v>60.200346753997302</v>
      </c>
      <c r="O11" s="56">
        <v>0.76827735566056199</v>
      </c>
    </row>
    <row r="12" spans="1:15" x14ac:dyDescent="0.25">
      <c r="A12" s="56">
        <v>2022</v>
      </c>
      <c r="B12" s="56">
        <v>7</v>
      </c>
      <c r="C12" s="56">
        <v>19</v>
      </c>
      <c r="D12" s="56">
        <v>12</v>
      </c>
      <c r="E12" s="56">
        <v>46</v>
      </c>
      <c r="F12" s="56">
        <v>1</v>
      </c>
      <c r="G12" s="56" t="s">
        <v>213</v>
      </c>
      <c r="H12" s="56" t="s">
        <v>248</v>
      </c>
      <c r="I12" s="56">
        <v>4764</v>
      </c>
      <c r="J12" s="56" t="s">
        <v>272</v>
      </c>
      <c r="K12" s="56">
        <v>1000</v>
      </c>
      <c r="L12" s="56">
        <v>16.624700000000001</v>
      </c>
      <c r="M12" s="56">
        <v>1</v>
      </c>
      <c r="N12" s="56">
        <v>60.151461379754203</v>
      </c>
      <c r="O12" s="56">
        <v>1.16405016530411</v>
      </c>
    </row>
    <row r="13" spans="1:15" x14ac:dyDescent="0.25">
      <c r="A13" s="57">
        <v>2024</v>
      </c>
      <c r="B13" s="57">
        <v>2</v>
      </c>
      <c r="C13" s="57">
        <v>1</v>
      </c>
      <c r="D13" s="57">
        <v>0</v>
      </c>
      <c r="E13" s="57">
        <v>1</v>
      </c>
      <c r="F13" s="57">
        <v>3</v>
      </c>
      <c r="G13" s="57" t="s">
        <v>213</v>
      </c>
      <c r="H13" s="57" t="s">
        <v>248</v>
      </c>
      <c r="I13" s="57">
        <v>4764</v>
      </c>
      <c r="J13" s="57" t="s">
        <v>272</v>
      </c>
      <c r="K13" s="57">
        <v>1000</v>
      </c>
      <c r="L13" s="57">
        <v>16.613499999999998</v>
      </c>
      <c r="M13" s="57">
        <v>1</v>
      </c>
      <c r="N13" s="57">
        <v>60.192012519938601</v>
      </c>
      <c r="O13" s="57">
        <v>1.2587336487582701</v>
      </c>
    </row>
    <row r="14" spans="1:15" x14ac:dyDescent="0.25">
      <c r="A14" s="57">
        <v>2025</v>
      </c>
      <c r="B14" s="57">
        <v>8</v>
      </c>
      <c r="C14" s="57">
        <v>1</v>
      </c>
      <c r="D14" s="57">
        <v>0</v>
      </c>
      <c r="E14" s="57">
        <v>1</v>
      </c>
      <c r="F14" s="57">
        <v>3</v>
      </c>
      <c r="G14" s="57" t="s">
        <v>213</v>
      </c>
      <c r="H14" s="57" t="s">
        <v>214</v>
      </c>
      <c r="I14" s="57">
        <v>128907</v>
      </c>
      <c r="J14" s="57" t="s">
        <v>215</v>
      </c>
      <c r="K14" s="57">
        <v>1000</v>
      </c>
      <c r="L14" s="57">
        <f>1000/Table2[[#This Row],[M_should_be]]</f>
        <v>8.8011000000000266</v>
      </c>
      <c r="M14" s="57">
        <v>1</v>
      </c>
      <c r="N14" s="56">
        <v>113.622160866255</v>
      </c>
      <c r="O14" s="56">
        <v>1.7168308506891199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0481-F00D-4F48-81C6-07265F307B30}">
  <dimension ref="A1:O15"/>
  <sheetViews>
    <sheetView zoomScale="134" workbookViewId="0">
      <selection activeCell="D19" sqref="D19"/>
    </sheetView>
  </sheetViews>
  <sheetFormatPr defaultColWidth="8.85546875" defaultRowHeight="15" x14ac:dyDescent="0.25"/>
  <cols>
    <col min="5" max="5" width="9.7109375" customWidth="1"/>
    <col min="6" max="6" width="10" customWidth="1"/>
    <col min="7" max="7" width="14.42578125" customWidth="1"/>
    <col min="9" max="9" width="15.85546875" customWidth="1"/>
    <col min="11" max="11" width="12.7109375" customWidth="1"/>
    <col min="12" max="12" width="14.42578125" customWidth="1"/>
    <col min="13" max="13" width="13.42578125" customWidth="1"/>
    <col min="14" max="14" width="15.28515625" customWidth="1"/>
    <col min="15" max="15" width="13.42578125" customWidth="1"/>
  </cols>
  <sheetData>
    <row r="1" spans="1:15" x14ac:dyDescent="0.25">
      <c r="A1" s="62" t="s">
        <v>201</v>
      </c>
      <c r="B1" s="62" t="s">
        <v>202</v>
      </c>
      <c r="C1" s="62" t="s">
        <v>203</v>
      </c>
      <c r="D1" s="62" t="s">
        <v>204</v>
      </c>
      <c r="E1" s="62" t="s">
        <v>205</v>
      </c>
      <c r="F1" s="62" t="s">
        <v>206</v>
      </c>
      <c r="G1" s="62" t="s">
        <v>207</v>
      </c>
      <c r="H1" s="62" t="s">
        <v>208</v>
      </c>
      <c r="I1" s="62" t="s">
        <v>209</v>
      </c>
      <c r="J1" s="62" t="s">
        <v>239</v>
      </c>
      <c r="K1" s="62" t="s">
        <v>210</v>
      </c>
      <c r="L1" s="62" t="s">
        <v>211</v>
      </c>
      <c r="M1" s="62" t="s">
        <v>245</v>
      </c>
      <c r="N1" s="62" t="s">
        <v>246</v>
      </c>
      <c r="O1" s="62" t="s">
        <v>212</v>
      </c>
    </row>
    <row r="2" spans="1:15" x14ac:dyDescent="0.25">
      <c r="A2" s="63">
        <v>2015</v>
      </c>
      <c r="B2" s="63">
        <v>9</v>
      </c>
      <c r="C2" s="63">
        <v>30</v>
      </c>
      <c r="D2" s="63">
        <v>23</v>
      </c>
      <c r="E2" s="63">
        <v>0</v>
      </c>
      <c r="F2" s="63">
        <v>2</v>
      </c>
      <c r="G2" s="63" t="s">
        <v>225</v>
      </c>
      <c r="H2" s="63" t="s">
        <v>37</v>
      </c>
      <c r="I2" s="65" t="s">
        <v>220</v>
      </c>
      <c r="J2" s="63"/>
      <c r="K2" s="63">
        <v>8.4133300801790405</v>
      </c>
      <c r="L2" s="63">
        <v>8.3513999999999999</v>
      </c>
      <c r="M2" s="63">
        <v>118.85899999999999</v>
      </c>
      <c r="N2" s="63">
        <v>119.740402806715</v>
      </c>
      <c r="O2" s="63">
        <v>1.9286659923145</v>
      </c>
    </row>
    <row r="3" spans="1:15" x14ac:dyDescent="0.25">
      <c r="A3" s="64">
        <v>2016</v>
      </c>
      <c r="B3" s="64">
        <v>1</v>
      </c>
      <c r="C3" s="64">
        <v>1</v>
      </c>
      <c r="D3" s="64">
        <v>0</v>
      </c>
      <c r="E3" s="64">
        <v>1</v>
      </c>
      <c r="F3" s="64">
        <v>2</v>
      </c>
      <c r="G3" s="64" t="s">
        <v>225</v>
      </c>
      <c r="H3" s="64" t="s">
        <v>37</v>
      </c>
      <c r="I3" s="66" t="s">
        <v>220</v>
      </c>
      <c r="J3" s="64"/>
      <c r="K3" s="64">
        <v>8.4133300801790405</v>
      </c>
      <c r="L3" s="64">
        <v>8.3513999999999999</v>
      </c>
      <c r="M3" s="64">
        <v>118.85899999999999</v>
      </c>
      <c r="N3" s="64">
        <v>119.740402806715</v>
      </c>
      <c r="O3" s="64">
        <v>1.9286659923145</v>
      </c>
    </row>
    <row r="4" spans="1:15" x14ac:dyDescent="0.25">
      <c r="A4" s="63">
        <v>2017</v>
      </c>
      <c r="B4" s="63">
        <v>1</v>
      </c>
      <c r="C4" s="63">
        <v>1</v>
      </c>
      <c r="D4" s="63">
        <v>0</v>
      </c>
      <c r="E4" s="63">
        <v>1</v>
      </c>
      <c r="F4" s="63">
        <v>2</v>
      </c>
      <c r="G4" s="63" t="s">
        <v>225</v>
      </c>
      <c r="H4" s="63" t="s">
        <v>37</v>
      </c>
      <c r="I4" s="65" t="s">
        <v>220</v>
      </c>
      <c r="J4" s="63"/>
      <c r="K4" s="63">
        <v>8.4133300801790405</v>
      </c>
      <c r="L4" s="63">
        <v>8.3513999999999999</v>
      </c>
      <c r="M4" s="63">
        <v>118.85899999999999</v>
      </c>
      <c r="N4" s="63">
        <v>119.740402806715</v>
      </c>
      <c r="O4" s="63">
        <v>1.9286659923145</v>
      </c>
    </row>
    <row r="5" spans="1:15" x14ac:dyDescent="0.25">
      <c r="A5" s="64">
        <v>2017</v>
      </c>
      <c r="B5" s="64">
        <v>8</v>
      </c>
      <c r="C5" s="64">
        <v>1</v>
      </c>
      <c r="D5" s="64">
        <v>11</v>
      </c>
      <c r="E5" s="64">
        <v>40</v>
      </c>
      <c r="F5" s="64">
        <v>2</v>
      </c>
      <c r="G5" s="64" t="s">
        <v>225</v>
      </c>
      <c r="H5" s="64" t="s">
        <v>37</v>
      </c>
      <c r="I5" s="66" t="s">
        <v>220</v>
      </c>
      <c r="J5" s="64"/>
      <c r="K5" s="64">
        <v>8.4133300801790405</v>
      </c>
      <c r="L5" s="64">
        <v>8.3513999999999999</v>
      </c>
      <c r="M5" s="64">
        <v>118.85899999999999</v>
      </c>
      <c r="N5" s="64">
        <v>119.740402806715</v>
      </c>
      <c r="O5" s="64">
        <v>1.9286659923145</v>
      </c>
    </row>
    <row r="6" spans="1:15" x14ac:dyDescent="0.25">
      <c r="A6" s="63">
        <v>2018</v>
      </c>
      <c r="B6" s="63">
        <v>1</v>
      </c>
      <c r="C6" s="63">
        <v>1</v>
      </c>
      <c r="D6" s="63">
        <v>0</v>
      </c>
      <c r="E6" s="63">
        <v>1</v>
      </c>
      <c r="F6" s="63">
        <v>2</v>
      </c>
      <c r="G6" s="63" t="s">
        <v>225</v>
      </c>
      <c r="H6" s="63" t="s">
        <v>37</v>
      </c>
      <c r="I6" s="65" t="s">
        <v>220</v>
      </c>
      <c r="J6" s="63"/>
      <c r="K6" s="63">
        <v>8.4133300801790405</v>
      </c>
      <c r="L6" s="63">
        <v>8.3513999999999999</v>
      </c>
      <c r="M6" s="63">
        <v>118.85899999999999</v>
      </c>
      <c r="N6" s="63">
        <v>119.740402806715</v>
      </c>
      <c r="O6" s="63">
        <v>1.9286659923145</v>
      </c>
    </row>
    <row r="7" spans="1:15" x14ac:dyDescent="0.25">
      <c r="A7" s="64">
        <v>2019</v>
      </c>
      <c r="B7" s="64">
        <v>1</v>
      </c>
      <c r="C7" s="64">
        <v>1</v>
      </c>
      <c r="D7" s="64">
        <v>0</v>
      </c>
      <c r="E7" s="64">
        <v>1</v>
      </c>
      <c r="F7" s="64">
        <v>2</v>
      </c>
      <c r="G7" s="64" t="s">
        <v>225</v>
      </c>
      <c r="H7" s="64" t="s">
        <v>37</v>
      </c>
      <c r="I7" s="66" t="s">
        <v>220</v>
      </c>
      <c r="J7" s="64"/>
      <c r="K7" s="64">
        <v>8.4133300801790405</v>
      </c>
      <c r="L7" s="64">
        <v>8.3513999999999999</v>
      </c>
      <c r="M7" s="64">
        <v>118.85899999999999</v>
      </c>
      <c r="N7" s="64">
        <v>119.740402806715</v>
      </c>
      <c r="O7" s="64">
        <v>1.9286659923145</v>
      </c>
    </row>
    <row r="8" spans="1:15" x14ac:dyDescent="0.25">
      <c r="A8" s="63">
        <v>2020</v>
      </c>
      <c r="B8" s="63">
        <v>1</v>
      </c>
      <c r="C8" s="63">
        <v>1</v>
      </c>
      <c r="D8" s="63">
        <v>0</v>
      </c>
      <c r="E8" s="63">
        <v>1</v>
      </c>
      <c r="F8" s="63">
        <v>2</v>
      </c>
      <c r="G8" s="63" t="s">
        <v>225</v>
      </c>
      <c r="H8" s="63" t="s">
        <v>37</v>
      </c>
      <c r="I8" s="65" t="s">
        <v>220</v>
      </c>
      <c r="J8" s="63"/>
      <c r="K8" s="63">
        <v>8.4133300801790405</v>
      </c>
      <c r="L8" s="63">
        <v>8.3513999999999999</v>
      </c>
      <c r="M8" s="63">
        <v>118.85899999999999</v>
      </c>
      <c r="N8" s="63">
        <v>119.740402806715</v>
      </c>
      <c r="O8" s="63">
        <v>1.9286659923145</v>
      </c>
    </row>
    <row r="9" spans="1:15" x14ac:dyDescent="0.25">
      <c r="A9" s="64">
        <v>2020</v>
      </c>
      <c r="B9" s="64">
        <v>8</v>
      </c>
      <c r="C9" s="64">
        <v>1</v>
      </c>
      <c r="D9" s="64">
        <v>0</v>
      </c>
      <c r="E9" s="64">
        <v>1</v>
      </c>
      <c r="F9" s="64">
        <v>2</v>
      </c>
      <c r="G9" s="64" t="s">
        <v>225</v>
      </c>
      <c r="H9" s="64" t="s">
        <v>37</v>
      </c>
      <c r="I9" s="66" t="s">
        <v>220</v>
      </c>
      <c r="J9" s="64"/>
      <c r="K9" s="64">
        <v>1000</v>
      </c>
      <c r="L9" s="64">
        <v>8.3513999999999999</v>
      </c>
      <c r="M9" s="64">
        <v>1</v>
      </c>
      <c r="N9" s="64">
        <v>119.740402806715</v>
      </c>
      <c r="O9" s="64">
        <v>1.9286659923145</v>
      </c>
    </row>
    <row r="10" spans="1:15" x14ac:dyDescent="0.25">
      <c r="A10" s="69">
        <v>2021</v>
      </c>
      <c r="B10" s="69">
        <v>1</v>
      </c>
      <c r="C10" s="69">
        <v>1</v>
      </c>
      <c r="D10" s="69">
        <v>0</v>
      </c>
      <c r="E10" s="69">
        <v>1</v>
      </c>
      <c r="F10" s="69">
        <v>2</v>
      </c>
      <c r="G10" s="69" t="s">
        <v>225</v>
      </c>
      <c r="H10" s="69" t="s">
        <v>37</v>
      </c>
      <c r="I10" s="70" t="s">
        <v>220</v>
      </c>
      <c r="J10" s="69"/>
      <c r="K10" s="69">
        <v>1000</v>
      </c>
      <c r="L10" s="69">
        <v>8.3756000000000004</v>
      </c>
      <c r="M10" s="69">
        <v>1</v>
      </c>
      <c r="N10" s="69">
        <v>119.394431443717</v>
      </c>
      <c r="O10" s="69">
        <v>2.03531169831321</v>
      </c>
    </row>
    <row r="11" spans="1:15" x14ac:dyDescent="0.25">
      <c r="A11" s="72">
        <v>2021</v>
      </c>
      <c r="B11" s="67">
        <v>7</v>
      </c>
      <c r="C11" s="67">
        <v>1</v>
      </c>
      <c r="D11" s="67">
        <v>0</v>
      </c>
      <c r="E11" s="67">
        <v>1</v>
      </c>
      <c r="F11" s="67">
        <v>2</v>
      </c>
      <c r="G11" s="67" t="s">
        <v>225</v>
      </c>
      <c r="H11" s="67" t="s">
        <v>37</v>
      </c>
      <c r="I11" s="68" t="s">
        <v>220</v>
      </c>
      <c r="J11" s="67"/>
      <c r="K11" s="67">
        <v>1000</v>
      </c>
      <c r="L11" s="67">
        <v>8.3756000000000004</v>
      </c>
      <c r="M11" s="67">
        <v>1</v>
      </c>
      <c r="N11" s="67">
        <v>119.394431443717</v>
      </c>
      <c r="O11" s="73">
        <v>2.03531169831321</v>
      </c>
    </row>
    <row r="12" spans="1:15" x14ac:dyDescent="0.25">
      <c r="A12" s="74">
        <v>2022</v>
      </c>
      <c r="B12" s="69">
        <v>7</v>
      </c>
      <c r="C12" s="69">
        <v>19</v>
      </c>
      <c r="D12" s="69">
        <v>12</v>
      </c>
      <c r="E12" s="69">
        <v>46</v>
      </c>
      <c r="F12" s="69">
        <v>2</v>
      </c>
      <c r="G12" s="69" t="s">
        <v>225</v>
      </c>
      <c r="H12" s="69" t="s">
        <v>37</v>
      </c>
      <c r="I12" s="70" t="s">
        <v>220</v>
      </c>
      <c r="J12" s="69"/>
      <c r="K12" s="69">
        <v>1000</v>
      </c>
      <c r="L12" s="69">
        <v>8.3750999999999998</v>
      </c>
      <c r="M12" s="69">
        <v>1</v>
      </c>
      <c r="N12" s="69">
        <v>119.401559384366</v>
      </c>
      <c r="O12" s="75">
        <v>1.8352099609999999</v>
      </c>
    </row>
    <row r="13" spans="1:15" x14ac:dyDescent="0.25">
      <c r="A13" s="74">
        <v>2024</v>
      </c>
      <c r="B13" s="69">
        <v>2</v>
      </c>
      <c r="C13" s="69">
        <v>1</v>
      </c>
      <c r="D13" s="69">
        <v>0</v>
      </c>
      <c r="E13" s="69">
        <v>1</v>
      </c>
      <c r="F13" s="69">
        <v>7</v>
      </c>
      <c r="G13" s="69" t="s">
        <v>225</v>
      </c>
      <c r="H13" s="69" t="s">
        <v>37</v>
      </c>
      <c r="I13" s="70" t="s">
        <v>220</v>
      </c>
      <c r="J13" s="69"/>
      <c r="K13" s="69">
        <v>1000</v>
      </c>
      <c r="L13" s="69">
        <v>8.3575999999999997</v>
      </c>
      <c r="M13" s="69">
        <v>1</v>
      </c>
      <c r="N13" s="69">
        <v>119.65157461472199</v>
      </c>
      <c r="O13" s="75">
        <v>1.8811551773110999</v>
      </c>
    </row>
    <row r="14" spans="1:15" x14ac:dyDescent="0.25">
      <c r="A14" s="72">
        <v>2024</v>
      </c>
      <c r="B14" s="67">
        <v>8</v>
      </c>
      <c r="C14" s="67">
        <v>1</v>
      </c>
      <c r="D14" s="67">
        <v>0</v>
      </c>
      <c r="E14" s="67">
        <v>1</v>
      </c>
      <c r="F14" s="67">
        <v>7</v>
      </c>
      <c r="G14" s="67" t="s">
        <v>225</v>
      </c>
      <c r="H14" s="67" t="s">
        <v>247</v>
      </c>
      <c r="I14" s="68" t="s">
        <v>221</v>
      </c>
      <c r="J14" s="67"/>
      <c r="K14" s="67">
        <v>1000</v>
      </c>
      <c r="L14" s="67">
        <v>7.2114000000000003</v>
      </c>
      <c r="M14" s="67">
        <v>1</v>
      </c>
      <c r="N14" s="67">
        <v>138.66932911778599</v>
      </c>
      <c r="O14" s="73">
        <v>0.929754688179387</v>
      </c>
    </row>
    <row r="15" spans="1:15" x14ac:dyDescent="0.25">
      <c r="A15" s="74">
        <v>2025</v>
      </c>
      <c r="B15" s="69">
        <v>8</v>
      </c>
      <c r="C15" s="69">
        <v>1</v>
      </c>
      <c r="D15" s="69">
        <v>0</v>
      </c>
      <c r="E15" s="69">
        <v>1</v>
      </c>
      <c r="F15" s="69">
        <v>7</v>
      </c>
      <c r="G15" s="69" t="s">
        <v>225</v>
      </c>
      <c r="H15" s="69" t="s">
        <v>247</v>
      </c>
      <c r="I15" s="70" t="s">
        <v>220</v>
      </c>
      <c r="J15" s="69" t="s">
        <v>215</v>
      </c>
      <c r="K15" s="64">
        <v>8.3796999999999997</v>
      </c>
      <c r="L15" s="64">
        <v>8.3796999999999997</v>
      </c>
      <c r="M15" s="64">
        <v>119.336014415791</v>
      </c>
      <c r="N15" s="64">
        <v>119.336014415791</v>
      </c>
      <c r="O15" s="76">
        <v>1.0501569268589599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8007-B334-4AFA-9368-61BFA621700B}">
  <dimension ref="A1:O8"/>
  <sheetViews>
    <sheetView zoomScale="125" workbookViewId="0">
      <selection activeCell="G7" sqref="G7"/>
    </sheetView>
  </sheetViews>
  <sheetFormatPr defaultColWidth="8.85546875" defaultRowHeight="15" x14ac:dyDescent="0.25"/>
  <cols>
    <col min="5" max="5" width="9.7109375" customWidth="1"/>
    <col min="6" max="6" width="10" customWidth="1"/>
    <col min="7" max="7" width="14.42578125" customWidth="1"/>
    <col min="9" max="9" width="15.85546875" customWidth="1"/>
    <col min="11" max="11" width="12.7109375" customWidth="1"/>
    <col min="12" max="12" width="14.42578125" customWidth="1"/>
    <col min="13" max="13" width="13.42578125" customWidth="1"/>
    <col min="14" max="14" width="15.28515625" customWidth="1"/>
    <col min="15" max="15" width="13.42578125" customWidth="1"/>
  </cols>
  <sheetData>
    <row r="1" spans="1:15" x14ac:dyDescent="0.25">
      <c r="A1" s="62" t="s">
        <v>201</v>
      </c>
      <c r="B1" s="62" t="s">
        <v>202</v>
      </c>
      <c r="C1" s="62" t="s">
        <v>203</v>
      </c>
      <c r="D1" s="62" t="s">
        <v>204</v>
      </c>
      <c r="E1" s="62" t="s">
        <v>205</v>
      </c>
      <c r="F1" s="62" t="s">
        <v>206</v>
      </c>
      <c r="G1" s="62" t="s">
        <v>207</v>
      </c>
      <c r="H1" s="62" t="s">
        <v>208</v>
      </c>
      <c r="I1" s="62" t="s">
        <v>209</v>
      </c>
      <c r="J1" s="62" t="s">
        <v>239</v>
      </c>
      <c r="K1" s="62" t="s">
        <v>210</v>
      </c>
      <c r="L1" s="62" t="s">
        <v>211</v>
      </c>
      <c r="M1" s="62" t="s">
        <v>245</v>
      </c>
      <c r="N1" s="62" t="s">
        <v>246</v>
      </c>
      <c r="O1" s="62" t="s">
        <v>212</v>
      </c>
    </row>
    <row r="2" spans="1:15" x14ac:dyDescent="0.25">
      <c r="A2" s="63">
        <v>2020</v>
      </c>
      <c r="B2" s="63">
        <v>8</v>
      </c>
      <c r="C2" s="63">
        <v>1</v>
      </c>
      <c r="D2" s="63">
        <v>0</v>
      </c>
      <c r="E2" s="63">
        <v>1</v>
      </c>
      <c r="F2" s="63">
        <v>3</v>
      </c>
      <c r="G2" s="63" t="s">
        <v>226</v>
      </c>
      <c r="H2" s="63" t="s">
        <v>86</v>
      </c>
      <c r="I2" s="65" t="s">
        <v>218</v>
      </c>
      <c r="J2" s="63"/>
      <c r="K2" s="63">
        <v>1000</v>
      </c>
      <c r="L2" s="63">
        <v>8.4176000000000002</v>
      </c>
      <c r="M2" s="63">
        <v>1</v>
      </c>
      <c r="N2" s="63">
        <v>118.79870747006299</v>
      </c>
      <c r="O2" s="63">
        <v>2.2908047722416698</v>
      </c>
    </row>
    <row r="3" spans="1:15" x14ac:dyDescent="0.25">
      <c r="A3" s="64">
        <v>2021</v>
      </c>
      <c r="B3" s="64">
        <v>1</v>
      </c>
      <c r="C3" s="64">
        <v>1</v>
      </c>
      <c r="D3" s="64">
        <v>0</v>
      </c>
      <c r="E3" s="64">
        <v>1</v>
      </c>
      <c r="F3" s="64">
        <v>3</v>
      </c>
      <c r="G3" s="64" t="s">
        <v>226</v>
      </c>
      <c r="H3" s="64" t="s">
        <v>86</v>
      </c>
      <c r="I3" s="66" t="s">
        <v>218</v>
      </c>
      <c r="J3" s="64"/>
      <c r="K3" s="64">
        <v>1000</v>
      </c>
      <c r="L3" s="64">
        <v>8.4390000000000001</v>
      </c>
      <c r="M3" s="64">
        <v>1</v>
      </c>
      <c r="N3" s="64">
        <v>118.497452304775</v>
      </c>
      <c r="O3" s="64">
        <v>2.20773173146471</v>
      </c>
    </row>
    <row r="4" spans="1:15" x14ac:dyDescent="0.25">
      <c r="A4" s="63">
        <v>2021</v>
      </c>
      <c r="B4" s="63">
        <v>7</v>
      </c>
      <c r="C4" s="63">
        <v>1</v>
      </c>
      <c r="D4" s="63">
        <v>0</v>
      </c>
      <c r="E4" s="63">
        <v>1</v>
      </c>
      <c r="F4" s="63">
        <v>3</v>
      </c>
      <c r="G4" s="63" t="s">
        <v>226</v>
      </c>
      <c r="H4" s="63" t="s">
        <v>248</v>
      </c>
      <c r="I4" s="65" t="s">
        <v>255</v>
      </c>
      <c r="J4" s="63"/>
      <c r="K4" s="63">
        <v>1000</v>
      </c>
      <c r="L4" s="63">
        <v>13.3057</v>
      </c>
      <c r="M4" s="63">
        <v>1</v>
      </c>
      <c r="N4" s="63">
        <v>75.155760313249203</v>
      </c>
      <c r="O4" s="63">
        <v>0.83122061412608705</v>
      </c>
    </row>
    <row r="5" spans="1:15" x14ac:dyDescent="0.25">
      <c r="A5" s="64">
        <v>2022</v>
      </c>
      <c r="B5" s="64">
        <v>7</v>
      </c>
      <c r="C5" s="64">
        <v>19</v>
      </c>
      <c r="D5" s="64">
        <v>12</v>
      </c>
      <c r="E5" s="64">
        <v>46</v>
      </c>
      <c r="F5" s="64">
        <v>3</v>
      </c>
      <c r="G5" s="64" t="s">
        <v>226</v>
      </c>
      <c r="H5" s="64" t="s">
        <v>248</v>
      </c>
      <c r="I5" s="66" t="s">
        <v>255</v>
      </c>
      <c r="J5" s="64"/>
      <c r="K5" s="64">
        <v>1000</v>
      </c>
      <c r="L5" s="64">
        <v>13.317600000000001</v>
      </c>
      <c r="M5" s="64">
        <v>1</v>
      </c>
      <c r="N5" s="64">
        <v>75.088604553373003</v>
      </c>
      <c r="O5" s="64">
        <v>1.2169603471391199</v>
      </c>
    </row>
    <row r="6" spans="1:15" x14ac:dyDescent="0.25">
      <c r="A6" s="64">
        <v>2024</v>
      </c>
      <c r="B6" s="64">
        <v>2</v>
      </c>
      <c r="C6" s="64">
        <v>1</v>
      </c>
      <c r="D6" s="64">
        <v>0</v>
      </c>
      <c r="E6" s="64">
        <v>1</v>
      </c>
      <c r="F6" s="64">
        <v>11</v>
      </c>
      <c r="G6" s="64" t="s">
        <v>226</v>
      </c>
      <c r="H6" s="64" t="s">
        <v>248</v>
      </c>
      <c r="I6" s="66" t="s">
        <v>255</v>
      </c>
      <c r="J6" s="64"/>
      <c r="K6" s="64">
        <v>1000</v>
      </c>
      <c r="L6" s="64">
        <v>13.308199999999999</v>
      </c>
      <c r="M6" s="64">
        <v>1</v>
      </c>
      <c r="N6" s="64">
        <v>75.141641995160896</v>
      </c>
      <c r="O6" s="64">
        <v>1.2914628942617901</v>
      </c>
    </row>
    <row r="7" spans="1:15" x14ac:dyDescent="0.25">
      <c r="A7" s="69">
        <v>2024</v>
      </c>
      <c r="B7" s="69">
        <v>8</v>
      </c>
      <c r="C7" s="69">
        <v>1</v>
      </c>
      <c r="D7" s="69">
        <v>0</v>
      </c>
      <c r="E7" s="69">
        <v>1</v>
      </c>
      <c r="F7" s="69">
        <v>11</v>
      </c>
      <c r="G7" s="69" t="s">
        <v>226</v>
      </c>
      <c r="H7" s="69" t="s">
        <v>214</v>
      </c>
      <c r="I7" s="70" t="s">
        <v>270</v>
      </c>
      <c r="J7" s="69"/>
      <c r="K7" s="69">
        <v>1000</v>
      </c>
      <c r="L7" s="69">
        <v>8.6873000000000005</v>
      </c>
      <c r="M7" s="69">
        <v>1</v>
      </c>
      <c r="N7" s="69">
        <v>115.11056369643001</v>
      </c>
      <c r="O7" s="69">
        <v>2.4150196263511101</v>
      </c>
    </row>
    <row r="8" spans="1:15" x14ac:dyDescent="0.25">
      <c r="A8" s="67">
        <v>2025</v>
      </c>
      <c r="B8" s="67">
        <v>8</v>
      </c>
      <c r="C8" s="67">
        <v>1</v>
      </c>
      <c r="D8" s="67">
        <v>0</v>
      </c>
      <c r="E8" s="67">
        <v>1</v>
      </c>
      <c r="F8" s="67">
        <v>12</v>
      </c>
      <c r="G8" s="67" t="s">
        <v>226</v>
      </c>
      <c r="H8" s="67" t="s">
        <v>214</v>
      </c>
      <c r="I8" s="68" t="s">
        <v>253</v>
      </c>
      <c r="J8" s="67"/>
      <c r="K8" s="67">
        <v>8.2452000000000005</v>
      </c>
      <c r="L8" s="67">
        <v>8.2452000000000005</v>
      </c>
      <c r="M8" s="67">
        <v>121.282685683792</v>
      </c>
      <c r="N8" s="67">
        <v>121.282685683792</v>
      </c>
      <c r="O8" s="67">
        <v>0.94600494833357596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D8E7-B939-4F56-8304-C86C81BE8A5F}">
  <dimension ref="A1:O7"/>
  <sheetViews>
    <sheetView workbookViewId="0">
      <selection activeCell="E22" sqref="E22"/>
    </sheetView>
  </sheetViews>
  <sheetFormatPr defaultColWidth="8.85546875" defaultRowHeight="15" x14ac:dyDescent="0.25"/>
  <cols>
    <col min="5" max="5" width="9.7109375" customWidth="1"/>
    <col min="6" max="6" width="10" customWidth="1"/>
    <col min="7" max="7" width="14.42578125" customWidth="1"/>
    <col min="9" max="9" width="15.85546875" customWidth="1"/>
    <col min="11" max="11" width="12.7109375" customWidth="1"/>
    <col min="12" max="12" width="14.42578125" customWidth="1"/>
    <col min="13" max="13" width="13.42578125" customWidth="1"/>
    <col min="14" max="14" width="15.28515625" customWidth="1"/>
    <col min="15" max="15" width="13.42578125" customWidth="1"/>
  </cols>
  <sheetData>
    <row r="1" spans="1:15" x14ac:dyDescent="0.25">
      <c r="A1" s="62" t="s">
        <v>201</v>
      </c>
      <c r="B1" s="62" t="s">
        <v>202</v>
      </c>
      <c r="C1" s="62" t="s">
        <v>203</v>
      </c>
      <c r="D1" s="62" t="s">
        <v>204</v>
      </c>
      <c r="E1" s="62" t="s">
        <v>205</v>
      </c>
      <c r="F1" s="62" t="s">
        <v>206</v>
      </c>
      <c r="G1" s="62" t="s">
        <v>207</v>
      </c>
      <c r="H1" s="62" t="s">
        <v>208</v>
      </c>
      <c r="I1" s="62" t="s">
        <v>209</v>
      </c>
      <c r="J1" s="62" t="s">
        <v>239</v>
      </c>
      <c r="K1" s="62" t="s">
        <v>210</v>
      </c>
      <c r="L1" s="62" t="s">
        <v>211</v>
      </c>
      <c r="M1" s="62" t="s">
        <v>245</v>
      </c>
      <c r="N1" s="62" t="s">
        <v>246</v>
      </c>
      <c r="O1" s="62" t="s">
        <v>212</v>
      </c>
    </row>
    <row r="2" spans="1:15" x14ac:dyDescent="0.25">
      <c r="A2" s="63">
        <v>2025</v>
      </c>
      <c r="B2" s="63">
        <v>8</v>
      </c>
      <c r="C2" s="63">
        <v>1</v>
      </c>
      <c r="D2" s="63">
        <v>0</v>
      </c>
      <c r="E2" s="63">
        <v>1</v>
      </c>
      <c r="F2" s="63">
        <v>16</v>
      </c>
      <c r="G2" s="63" t="s">
        <v>228</v>
      </c>
      <c r="H2" s="63" t="s">
        <v>21</v>
      </c>
      <c r="I2" s="65" t="s">
        <v>21</v>
      </c>
      <c r="J2" s="63"/>
      <c r="K2" s="63">
        <v>1000</v>
      </c>
      <c r="L2" s="63">
        <v>1000</v>
      </c>
      <c r="M2" s="63">
        <v>1</v>
      </c>
      <c r="N2" s="63">
        <v>1</v>
      </c>
      <c r="O2" s="63">
        <v>1</v>
      </c>
    </row>
    <row r="3" spans="1:15" x14ac:dyDescent="0.25">
      <c r="A3" s="64">
        <v>2024</v>
      </c>
      <c r="B3" s="64">
        <v>2</v>
      </c>
      <c r="C3" s="64">
        <v>1</v>
      </c>
      <c r="D3" s="64">
        <v>0</v>
      </c>
      <c r="E3" s="64">
        <v>1</v>
      </c>
      <c r="F3" s="64">
        <v>16</v>
      </c>
      <c r="G3" s="64" t="s">
        <v>228</v>
      </c>
      <c r="H3" s="64" t="s">
        <v>21</v>
      </c>
      <c r="I3" s="66" t="s">
        <v>21</v>
      </c>
      <c r="J3" s="64"/>
      <c r="K3" s="64">
        <v>1000</v>
      </c>
      <c r="L3" s="64">
        <v>1000</v>
      </c>
      <c r="M3" s="64">
        <v>1</v>
      </c>
      <c r="N3" s="64">
        <v>1</v>
      </c>
      <c r="O3" s="64">
        <v>1</v>
      </c>
    </row>
    <row r="4" spans="1:15" x14ac:dyDescent="0.25">
      <c r="A4" s="63">
        <v>2024</v>
      </c>
      <c r="B4" s="63">
        <v>8</v>
      </c>
      <c r="C4" s="63">
        <v>1</v>
      </c>
      <c r="D4" s="63">
        <v>0</v>
      </c>
      <c r="E4" s="63">
        <v>1</v>
      </c>
      <c r="F4" s="63">
        <v>16</v>
      </c>
      <c r="G4" s="63" t="s">
        <v>228</v>
      </c>
      <c r="H4" s="63" t="s">
        <v>21</v>
      </c>
      <c r="I4" s="65" t="s">
        <v>21</v>
      </c>
      <c r="J4" s="63"/>
      <c r="K4" s="63">
        <v>1000</v>
      </c>
      <c r="L4" s="63">
        <v>1000</v>
      </c>
      <c r="M4" s="63">
        <v>1</v>
      </c>
      <c r="N4" s="63">
        <v>1</v>
      </c>
      <c r="O4" s="63">
        <v>1</v>
      </c>
    </row>
    <row r="5" spans="1:15" x14ac:dyDescent="0.25">
      <c r="A5" s="64">
        <v>2022</v>
      </c>
      <c r="B5" s="64">
        <v>7</v>
      </c>
      <c r="C5" s="64">
        <v>19</v>
      </c>
      <c r="D5" s="64">
        <v>12</v>
      </c>
      <c r="E5" s="64">
        <v>46</v>
      </c>
      <c r="F5" s="64">
        <v>10</v>
      </c>
      <c r="G5" s="64" t="s">
        <v>228</v>
      </c>
      <c r="H5" s="64" t="s">
        <v>21</v>
      </c>
      <c r="I5" s="66" t="s">
        <v>21</v>
      </c>
      <c r="J5" s="64"/>
      <c r="K5" s="64">
        <v>1000</v>
      </c>
      <c r="L5" s="64">
        <v>1000</v>
      </c>
      <c r="M5" s="64">
        <v>1</v>
      </c>
      <c r="N5" s="64">
        <v>1</v>
      </c>
      <c r="O5" s="64">
        <v>1</v>
      </c>
    </row>
    <row r="6" spans="1:15" x14ac:dyDescent="0.25">
      <c r="A6" s="63">
        <v>2021</v>
      </c>
      <c r="B6" s="63">
        <v>1</v>
      </c>
      <c r="C6" s="63">
        <v>1</v>
      </c>
      <c r="D6" s="63">
        <v>0</v>
      </c>
      <c r="E6" s="63">
        <v>1</v>
      </c>
      <c r="F6" s="63">
        <v>14</v>
      </c>
      <c r="G6" s="63" t="s">
        <v>228</v>
      </c>
      <c r="H6" s="63" t="s">
        <v>21</v>
      </c>
      <c r="I6" s="65" t="s">
        <v>21</v>
      </c>
      <c r="J6" s="63"/>
      <c r="K6" s="63">
        <v>1000</v>
      </c>
      <c r="L6" s="63">
        <v>1000</v>
      </c>
      <c r="M6" s="63">
        <v>1</v>
      </c>
      <c r="N6" s="63">
        <v>1</v>
      </c>
      <c r="O6" s="63">
        <v>1</v>
      </c>
    </row>
    <row r="7" spans="1:15" x14ac:dyDescent="0.25">
      <c r="A7" s="67">
        <v>2021</v>
      </c>
      <c r="B7" s="67">
        <v>7</v>
      </c>
      <c r="C7" s="67">
        <v>1</v>
      </c>
      <c r="D7" s="67">
        <v>0</v>
      </c>
      <c r="E7" s="67">
        <v>1</v>
      </c>
      <c r="F7" s="67">
        <v>10</v>
      </c>
      <c r="G7" s="67" t="s">
        <v>228</v>
      </c>
      <c r="H7" s="67" t="s">
        <v>21</v>
      </c>
      <c r="I7" s="68" t="s">
        <v>21</v>
      </c>
      <c r="J7" s="67"/>
      <c r="K7" s="67">
        <v>1000</v>
      </c>
      <c r="L7" s="67">
        <v>1000</v>
      </c>
      <c r="M7" s="67">
        <v>1</v>
      </c>
      <c r="N7" s="67">
        <v>1</v>
      </c>
      <c r="O7" s="67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179F-CF4E-4E88-AA90-1605119874FB}">
  <dimension ref="A1:O15"/>
  <sheetViews>
    <sheetView workbookViewId="0">
      <selection activeCell="H34" sqref="H34"/>
    </sheetView>
  </sheetViews>
  <sheetFormatPr defaultColWidth="8.85546875" defaultRowHeight="15" x14ac:dyDescent="0.25"/>
  <cols>
    <col min="5" max="5" width="9.7109375" customWidth="1"/>
    <col min="6" max="6" width="10" customWidth="1"/>
    <col min="7" max="7" width="14.42578125" customWidth="1"/>
    <col min="9" max="9" width="15.85546875" customWidth="1"/>
    <col min="11" max="11" width="12.7109375" customWidth="1"/>
    <col min="12" max="12" width="14.42578125" customWidth="1"/>
    <col min="13" max="13" width="13.42578125" customWidth="1"/>
    <col min="14" max="14" width="15.28515625" customWidth="1"/>
    <col min="15" max="15" width="13.42578125" customWidth="1"/>
  </cols>
  <sheetData>
    <row r="1" spans="1:15" x14ac:dyDescent="0.25">
      <c r="A1" s="62" t="s">
        <v>201</v>
      </c>
      <c r="B1" s="62" t="s">
        <v>202</v>
      </c>
      <c r="C1" s="62" t="s">
        <v>203</v>
      </c>
      <c r="D1" s="62" t="s">
        <v>204</v>
      </c>
      <c r="E1" s="62" t="s">
        <v>205</v>
      </c>
      <c r="F1" s="62" t="s">
        <v>206</v>
      </c>
      <c r="G1" s="62" t="s">
        <v>207</v>
      </c>
      <c r="H1" s="62" t="s">
        <v>208</v>
      </c>
      <c r="I1" s="62" t="s">
        <v>209</v>
      </c>
      <c r="J1" s="62" t="s">
        <v>239</v>
      </c>
      <c r="K1" s="62" t="s">
        <v>210</v>
      </c>
      <c r="L1" s="62" t="s">
        <v>211</v>
      </c>
      <c r="M1" s="62" t="s">
        <v>245</v>
      </c>
      <c r="N1" s="62" t="s">
        <v>246</v>
      </c>
      <c r="O1" s="62" t="s">
        <v>212</v>
      </c>
    </row>
    <row r="2" spans="1:15" x14ac:dyDescent="0.25">
      <c r="A2" s="63">
        <v>2021</v>
      </c>
      <c r="B2" s="63">
        <v>1</v>
      </c>
      <c r="C2" s="63">
        <v>1</v>
      </c>
      <c r="D2" s="63">
        <v>0</v>
      </c>
      <c r="E2" s="63">
        <v>1</v>
      </c>
      <c r="F2" s="63">
        <v>4</v>
      </c>
      <c r="G2" s="63" t="s">
        <v>230</v>
      </c>
      <c r="H2" s="63" t="s">
        <v>231</v>
      </c>
      <c r="I2" s="65" t="s">
        <v>219</v>
      </c>
      <c r="J2" s="63"/>
      <c r="K2" s="63"/>
      <c r="L2" s="63"/>
      <c r="M2" s="63"/>
      <c r="N2" s="63"/>
      <c r="O2" s="63"/>
    </row>
    <row r="3" spans="1:15" x14ac:dyDescent="0.25">
      <c r="A3" s="64">
        <v>2021</v>
      </c>
      <c r="B3" s="64">
        <v>1</v>
      </c>
      <c r="C3" s="64">
        <v>1</v>
      </c>
      <c r="D3" s="64">
        <v>0</v>
      </c>
      <c r="E3" s="64">
        <v>1</v>
      </c>
      <c r="F3" s="64">
        <v>5</v>
      </c>
      <c r="G3" s="64" t="s">
        <v>230</v>
      </c>
      <c r="H3" s="64" t="s">
        <v>232</v>
      </c>
      <c r="I3" s="66" t="s">
        <v>219</v>
      </c>
      <c r="J3" s="64"/>
      <c r="K3" s="64"/>
      <c r="L3" s="64"/>
      <c r="M3" s="64"/>
      <c r="N3" s="64"/>
      <c r="O3" s="64"/>
    </row>
    <row r="4" spans="1:15" x14ac:dyDescent="0.25">
      <c r="A4" s="63">
        <v>2021</v>
      </c>
      <c r="B4" s="63">
        <v>1</v>
      </c>
      <c r="C4" s="63">
        <v>1</v>
      </c>
      <c r="D4" s="63">
        <v>0</v>
      </c>
      <c r="E4" s="63">
        <v>1</v>
      </c>
      <c r="F4" s="63">
        <v>6</v>
      </c>
      <c r="G4" s="63" t="s">
        <v>230</v>
      </c>
      <c r="H4" s="63" t="s">
        <v>233</v>
      </c>
      <c r="I4" s="65" t="s">
        <v>219</v>
      </c>
      <c r="J4" s="63"/>
      <c r="K4" s="63"/>
      <c r="L4" s="63"/>
      <c r="M4" s="63"/>
      <c r="N4" s="63"/>
      <c r="O4" s="63"/>
    </row>
    <row r="5" spans="1:15" x14ac:dyDescent="0.25">
      <c r="A5" s="64">
        <v>2021</v>
      </c>
      <c r="B5" s="64">
        <v>1</v>
      </c>
      <c r="C5" s="64">
        <v>1</v>
      </c>
      <c r="D5" s="64">
        <v>0</v>
      </c>
      <c r="E5" s="64">
        <v>1</v>
      </c>
      <c r="F5" s="64">
        <v>10</v>
      </c>
      <c r="G5" s="64" t="s">
        <v>230</v>
      </c>
      <c r="H5" s="64" t="s">
        <v>234</v>
      </c>
      <c r="I5" s="66" t="s">
        <v>219</v>
      </c>
      <c r="J5" s="64"/>
      <c r="K5" s="64">
        <v>1000</v>
      </c>
      <c r="L5" s="64">
        <v>1000</v>
      </c>
      <c r="M5" s="64">
        <v>1</v>
      </c>
      <c r="N5" s="64">
        <v>1</v>
      </c>
      <c r="O5" s="64">
        <v>5</v>
      </c>
    </row>
    <row r="6" spans="1:15" x14ac:dyDescent="0.25">
      <c r="A6" s="63">
        <v>2021</v>
      </c>
      <c r="B6" s="63">
        <v>1</v>
      </c>
      <c r="C6" s="63">
        <v>1</v>
      </c>
      <c r="D6" s="63">
        <v>0</v>
      </c>
      <c r="E6" s="63">
        <v>1</v>
      </c>
      <c r="F6" s="63">
        <v>11</v>
      </c>
      <c r="G6" s="63" t="s">
        <v>230</v>
      </c>
      <c r="H6" s="63" t="s">
        <v>235</v>
      </c>
      <c r="I6" s="65" t="s">
        <v>219</v>
      </c>
      <c r="J6" s="63"/>
      <c r="K6" s="63">
        <v>1000</v>
      </c>
      <c r="L6" s="63">
        <v>1000</v>
      </c>
      <c r="M6" s="63">
        <v>1</v>
      </c>
      <c r="N6" s="63">
        <v>1</v>
      </c>
      <c r="O6" s="63">
        <v>5</v>
      </c>
    </row>
    <row r="7" spans="1:15" x14ac:dyDescent="0.25">
      <c r="A7" s="64">
        <v>2021</v>
      </c>
      <c r="B7" s="64">
        <v>1</v>
      </c>
      <c r="C7" s="64">
        <v>1</v>
      </c>
      <c r="D7" s="64">
        <v>0</v>
      </c>
      <c r="E7" s="64">
        <v>1</v>
      </c>
      <c r="F7" s="64">
        <v>12</v>
      </c>
      <c r="G7" s="64" t="s">
        <v>230</v>
      </c>
      <c r="H7" s="64" t="s">
        <v>236</v>
      </c>
      <c r="I7" s="66" t="s">
        <v>219</v>
      </c>
      <c r="J7" s="64"/>
      <c r="K7" s="64">
        <v>1000</v>
      </c>
      <c r="L7" s="64">
        <v>1000</v>
      </c>
      <c r="M7" s="64">
        <v>1</v>
      </c>
      <c r="N7" s="64">
        <v>1</v>
      </c>
      <c r="O7" s="64">
        <v>1</v>
      </c>
    </row>
    <row r="8" spans="1:15" x14ac:dyDescent="0.25">
      <c r="A8" s="63">
        <v>2021</v>
      </c>
      <c r="B8" s="63">
        <v>1</v>
      </c>
      <c r="C8" s="63">
        <v>1</v>
      </c>
      <c r="D8" s="63">
        <v>0</v>
      </c>
      <c r="E8" s="63">
        <v>1</v>
      </c>
      <c r="F8" s="63">
        <v>13</v>
      </c>
      <c r="G8" s="63" t="s">
        <v>230</v>
      </c>
      <c r="H8" s="63" t="s">
        <v>237</v>
      </c>
      <c r="I8" s="65" t="s">
        <v>219</v>
      </c>
      <c r="J8" s="63"/>
      <c r="K8" s="63">
        <v>1000</v>
      </c>
      <c r="L8" s="63">
        <v>1000</v>
      </c>
      <c r="M8" s="63">
        <v>1</v>
      </c>
      <c r="N8" s="63">
        <v>1</v>
      </c>
      <c r="O8" s="63">
        <v>1</v>
      </c>
    </row>
    <row r="9" spans="1:15" x14ac:dyDescent="0.25">
      <c r="A9" s="64">
        <v>2020</v>
      </c>
      <c r="B9" s="64">
        <v>8</v>
      </c>
      <c r="C9" s="64">
        <v>1</v>
      </c>
      <c r="D9" s="64">
        <v>0</v>
      </c>
      <c r="E9" s="64">
        <v>1</v>
      </c>
      <c r="F9" s="64">
        <v>4</v>
      </c>
      <c r="G9" s="64" t="s">
        <v>230</v>
      </c>
      <c r="H9" s="64" t="s">
        <v>231</v>
      </c>
      <c r="I9" s="66" t="s">
        <v>219</v>
      </c>
      <c r="J9" s="64"/>
      <c r="K9" s="64"/>
      <c r="L9" s="64"/>
      <c r="M9" s="64"/>
      <c r="N9" s="64"/>
      <c r="O9" s="64"/>
    </row>
    <row r="10" spans="1:15" x14ac:dyDescent="0.25">
      <c r="A10" s="63">
        <v>2020</v>
      </c>
      <c r="B10" s="63">
        <v>8</v>
      </c>
      <c r="C10" s="63">
        <v>1</v>
      </c>
      <c r="D10" s="63">
        <v>0</v>
      </c>
      <c r="E10" s="63">
        <v>1</v>
      </c>
      <c r="F10" s="63">
        <v>5</v>
      </c>
      <c r="G10" s="63" t="s">
        <v>230</v>
      </c>
      <c r="H10" s="63" t="s">
        <v>232</v>
      </c>
      <c r="I10" s="65" t="s">
        <v>219</v>
      </c>
      <c r="J10" s="63"/>
      <c r="K10" s="63"/>
      <c r="L10" s="63"/>
      <c r="M10" s="63"/>
      <c r="N10" s="63"/>
      <c r="O10" s="63"/>
    </row>
    <row r="11" spans="1:15" x14ac:dyDescent="0.25">
      <c r="A11" s="64">
        <v>2020</v>
      </c>
      <c r="B11" s="64">
        <v>8</v>
      </c>
      <c r="C11" s="64">
        <v>1</v>
      </c>
      <c r="D11" s="64">
        <v>0</v>
      </c>
      <c r="E11" s="64">
        <v>1</v>
      </c>
      <c r="F11" s="64">
        <v>6</v>
      </c>
      <c r="G11" s="64" t="s">
        <v>230</v>
      </c>
      <c r="H11" s="64" t="s">
        <v>233</v>
      </c>
      <c r="I11" s="66" t="s">
        <v>219</v>
      </c>
      <c r="J11" s="64"/>
      <c r="K11" s="64"/>
      <c r="L11" s="64"/>
      <c r="M11" s="64"/>
      <c r="N11" s="64"/>
      <c r="O11" s="64"/>
    </row>
    <row r="12" spans="1:15" x14ac:dyDescent="0.25">
      <c r="A12" s="63">
        <v>2020</v>
      </c>
      <c r="B12" s="63">
        <v>8</v>
      </c>
      <c r="C12" s="63">
        <v>1</v>
      </c>
      <c r="D12" s="63">
        <v>0</v>
      </c>
      <c r="E12" s="63">
        <v>1</v>
      </c>
      <c r="F12" s="63">
        <v>10</v>
      </c>
      <c r="G12" s="63" t="s">
        <v>230</v>
      </c>
      <c r="H12" s="63" t="s">
        <v>234</v>
      </c>
      <c r="I12" s="65" t="s">
        <v>219</v>
      </c>
      <c r="J12" s="63"/>
      <c r="K12" s="63">
        <v>1000</v>
      </c>
      <c r="L12" s="63">
        <v>1000</v>
      </c>
      <c r="M12" s="63">
        <v>1</v>
      </c>
      <c r="N12" s="63">
        <v>1</v>
      </c>
      <c r="O12" s="63">
        <v>5</v>
      </c>
    </row>
    <row r="13" spans="1:15" x14ac:dyDescent="0.25">
      <c r="A13" s="64">
        <v>2020</v>
      </c>
      <c r="B13" s="64">
        <v>8</v>
      </c>
      <c r="C13" s="64">
        <v>1</v>
      </c>
      <c r="D13" s="64">
        <v>0</v>
      </c>
      <c r="E13" s="64">
        <v>1</v>
      </c>
      <c r="F13" s="64">
        <v>11</v>
      </c>
      <c r="G13" s="64" t="s">
        <v>230</v>
      </c>
      <c r="H13" s="64" t="s">
        <v>235</v>
      </c>
      <c r="I13" s="66" t="s">
        <v>219</v>
      </c>
      <c r="J13" s="64"/>
      <c r="K13" s="64">
        <v>1000</v>
      </c>
      <c r="L13" s="64">
        <v>1000</v>
      </c>
      <c r="M13" s="64">
        <v>1</v>
      </c>
      <c r="N13" s="64">
        <v>1</v>
      </c>
      <c r="O13" s="64">
        <v>5</v>
      </c>
    </row>
    <row r="14" spans="1:15" x14ac:dyDescent="0.25">
      <c r="A14" s="63">
        <v>2020</v>
      </c>
      <c r="B14" s="63">
        <v>8</v>
      </c>
      <c r="C14" s="63">
        <v>1</v>
      </c>
      <c r="D14" s="63">
        <v>0</v>
      </c>
      <c r="E14" s="63">
        <v>1</v>
      </c>
      <c r="F14" s="63">
        <v>12</v>
      </c>
      <c r="G14" s="63" t="s">
        <v>230</v>
      </c>
      <c r="H14" s="63" t="s">
        <v>236</v>
      </c>
      <c r="I14" s="65" t="s">
        <v>219</v>
      </c>
      <c r="J14" s="63"/>
      <c r="K14" s="63">
        <v>1000</v>
      </c>
      <c r="L14" s="63">
        <v>1000</v>
      </c>
      <c r="M14" s="63">
        <v>1</v>
      </c>
      <c r="N14" s="63">
        <v>1</v>
      </c>
      <c r="O14" s="63">
        <v>1</v>
      </c>
    </row>
    <row r="15" spans="1:15" x14ac:dyDescent="0.25">
      <c r="A15" s="67">
        <v>2020</v>
      </c>
      <c r="B15" s="67">
        <v>8</v>
      </c>
      <c r="C15" s="67">
        <v>1</v>
      </c>
      <c r="D15" s="67">
        <v>0</v>
      </c>
      <c r="E15" s="67">
        <v>1</v>
      </c>
      <c r="F15" s="67">
        <v>13</v>
      </c>
      <c r="G15" s="67" t="s">
        <v>230</v>
      </c>
      <c r="H15" s="67" t="s">
        <v>237</v>
      </c>
      <c r="I15" s="68" t="s">
        <v>219</v>
      </c>
      <c r="J15" s="67"/>
      <c r="K15" s="67">
        <v>1000</v>
      </c>
      <c r="L15" s="67">
        <v>1000</v>
      </c>
      <c r="M15" s="67">
        <v>1</v>
      </c>
      <c r="N15" s="67">
        <v>1</v>
      </c>
      <c r="O15" s="67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FC27-2935-424C-A158-6B9B5A8DB710}">
  <dimension ref="A1:O4"/>
  <sheetViews>
    <sheetView workbookViewId="0">
      <selection activeCell="O5" sqref="O5"/>
    </sheetView>
  </sheetViews>
  <sheetFormatPr defaultColWidth="8.85546875" defaultRowHeight="15" x14ac:dyDescent="0.25"/>
  <cols>
    <col min="5" max="5" width="9.7109375" customWidth="1"/>
    <col min="6" max="6" width="10" customWidth="1"/>
    <col min="7" max="7" width="14.42578125" customWidth="1"/>
    <col min="9" max="9" width="15.85546875" customWidth="1"/>
    <col min="11" max="11" width="12.7109375" customWidth="1"/>
    <col min="12" max="12" width="14.42578125" customWidth="1"/>
    <col min="13" max="13" width="13.42578125" customWidth="1"/>
    <col min="14" max="14" width="15.28515625" customWidth="1"/>
    <col min="15" max="15" width="13.42578125" customWidth="1"/>
  </cols>
  <sheetData>
    <row r="1" spans="1:15" x14ac:dyDescent="0.25">
      <c r="A1" s="62" t="s">
        <v>201</v>
      </c>
      <c r="B1" s="62" t="s">
        <v>202</v>
      </c>
      <c r="C1" s="62" t="s">
        <v>203</v>
      </c>
      <c r="D1" s="62" t="s">
        <v>204</v>
      </c>
      <c r="E1" s="62" t="s">
        <v>205</v>
      </c>
      <c r="F1" s="62" t="s">
        <v>206</v>
      </c>
      <c r="G1" s="62" t="s">
        <v>207</v>
      </c>
      <c r="H1" s="62" t="s">
        <v>208</v>
      </c>
      <c r="I1" s="62" t="s">
        <v>209</v>
      </c>
      <c r="J1" s="62" t="s">
        <v>239</v>
      </c>
      <c r="K1" s="62" t="s">
        <v>210</v>
      </c>
      <c r="L1" s="62" t="s">
        <v>211</v>
      </c>
      <c r="M1" s="62" t="s">
        <v>245</v>
      </c>
      <c r="N1" s="62" t="s">
        <v>246</v>
      </c>
      <c r="O1" s="62" t="s">
        <v>212</v>
      </c>
    </row>
    <row r="2" spans="1:15" x14ac:dyDescent="0.25">
      <c r="A2" s="63">
        <v>2025</v>
      </c>
      <c r="B2" s="63">
        <v>8</v>
      </c>
      <c r="C2" s="63">
        <v>1</v>
      </c>
      <c r="D2" s="63">
        <v>0</v>
      </c>
      <c r="E2" s="63">
        <v>1</v>
      </c>
      <c r="F2" s="63">
        <v>1</v>
      </c>
      <c r="G2" s="63" t="s">
        <v>222</v>
      </c>
      <c r="H2" s="63" t="s">
        <v>223</v>
      </c>
      <c r="I2" s="65" t="s">
        <v>254</v>
      </c>
      <c r="J2" s="63"/>
      <c r="K2" s="63"/>
      <c r="L2" s="63"/>
      <c r="M2" s="63"/>
      <c r="N2" s="63"/>
      <c r="O2" s="63"/>
    </row>
    <row r="3" spans="1:15" x14ac:dyDescent="0.25">
      <c r="A3" s="64">
        <v>2024</v>
      </c>
      <c r="B3" s="64">
        <v>2</v>
      </c>
      <c r="C3" s="64">
        <v>1</v>
      </c>
      <c r="D3" s="64">
        <v>0</v>
      </c>
      <c r="E3" s="64">
        <v>1</v>
      </c>
      <c r="F3" s="64">
        <v>1</v>
      </c>
      <c r="G3" s="64" t="s">
        <v>222</v>
      </c>
      <c r="H3" s="64" t="s">
        <v>223</v>
      </c>
      <c r="I3" s="66" t="s">
        <v>254</v>
      </c>
      <c r="J3" s="64"/>
      <c r="K3" s="64"/>
      <c r="L3" s="64"/>
      <c r="M3" s="64"/>
      <c r="N3" s="64"/>
      <c r="O3" s="64"/>
    </row>
    <row r="4" spans="1:15" x14ac:dyDescent="0.25">
      <c r="A4" s="69">
        <v>2024</v>
      </c>
      <c r="B4" s="69">
        <v>8</v>
      </c>
      <c r="C4" s="69">
        <v>1</v>
      </c>
      <c r="D4" s="69">
        <v>0</v>
      </c>
      <c r="E4" s="69">
        <v>1</v>
      </c>
      <c r="F4" s="69">
        <v>1</v>
      </c>
      <c r="G4" s="69" t="s">
        <v>222</v>
      </c>
      <c r="H4" s="69" t="s">
        <v>223</v>
      </c>
      <c r="I4" s="70" t="s">
        <v>254</v>
      </c>
      <c r="J4" s="69"/>
      <c r="K4" s="69"/>
      <c r="L4" s="69"/>
      <c r="M4" s="69"/>
      <c r="N4" s="69"/>
      <c r="O4" s="6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E515-81CD-497C-A39A-B15BC3D309FD}">
  <dimension ref="A1:O4"/>
  <sheetViews>
    <sheetView workbookViewId="0">
      <selection activeCell="G29" sqref="G29"/>
    </sheetView>
  </sheetViews>
  <sheetFormatPr defaultColWidth="8.85546875" defaultRowHeight="15" x14ac:dyDescent="0.25"/>
  <cols>
    <col min="5" max="5" width="9.7109375" customWidth="1"/>
    <col min="6" max="6" width="10" customWidth="1"/>
    <col min="7" max="7" width="14.42578125" customWidth="1"/>
    <col min="9" max="9" width="15.85546875" customWidth="1"/>
    <col min="11" max="11" width="12.7109375" customWidth="1"/>
    <col min="12" max="12" width="14.42578125" customWidth="1"/>
    <col min="13" max="13" width="13.42578125" customWidth="1"/>
    <col min="14" max="14" width="15.28515625" customWidth="1"/>
    <col min="15" max="15" width="13.42578125" customWidth="1"/>
  </cols>
  <sheetData>
    <row r="1" spans="1:15" x14ac:dyDescent="0.25">
      <c r="A1" s="62" t="s">
        <v>201</v>
      </c>
      <c r="B1" s="62" t="s">
        <v>202</v>
      </c>
      <c r="C1" s="62" t="s">
        <v>203</v>
      </c>
      <c r="D1" s="62" t="s">
        <v>204</v>
      </c>
      <c r="E1" s="62" t="s">
        <v>205</v>
      </c>
      <c r="F1" s="62" t="s">
        <v>206</v>
      </c>
      <c r="G1" s="62" t="s">
        <v>207</v>
      </c>
      <c r="H1" s="62" t="s">
        <v>208</v>
      </c>
      <c r="I1" s="62" t="s">
        <v>209</v>
      </c>
      <c r="J1" s="62" t="s">
        <v>239</v>
      </c>
      <c r="K1" s="62" t="s">
        <v>210</v>
      </c>
      <c r="L1" s="62" t="s">
        <v>211</v>
      </c>
      <c r="M1" s="62" t="s">
        <v>245</v>
      </c>
      <c r="N1" s="62" t="s">
        <v>246</v>
      </c>
      <c r="O1" s="62" t="s">
        <v>212</v>
      </c>
    </row>
    <row r="2" spans="1:15" x14ac:dyDescent="0.25">
      <c r="A2" s="63">
        <v>2025</v>
      </c>
      <c r="B2" s="63">
        <v>8</v>
      </c>
      <c r="C2" s="63">
        <v>1</v>
      </c>
      <c r="D2" s="63">
        <v>0</v>
      </c>
      <c r="E2" s="63">
        <v>1</v>
      </c>
      <c r="F2" s="63">
        <v>2</v>
      </c>
      <c r="G2" s="63" t="s">
        <v>224</v>
      </c>
      <c r="H2" s="63" t="s">
        <v>223</v>
      </c>
      <c r="I2" s="65" t="s">
        <v>254</v>
      </c>
      <c r="J2" s="63"/>
      <c r="K2" s="63"/>
      <c r="L2" s="63"/>
      <c r="M2" s="63"/>
      <c r="N2" s="63"/>
      <c r="O2" s="63"/>
    </row>
    <row r="3" spans="1:15" x14ac:dyDescent="0.25">
      <c r="A3" s="64">
        <v>2024</v>
      </c>
      <c r="B3" s="64">
        <v>2</v>
      </c>
      <c r="C3" s="64">
        <v>1</v>
      </c>
      <c r="D3" s="64">
        <v>0</v>
      </c>
      <c r="E3" s="64">
        <v>1</v>
      </c>
      <c r="F3" s="64">
        <v>2</v>
      </c>
      <c r="G3" s="64" t="s">
        <v>224</v>
      </c>
      <c r="H3" s="64" t="s">
        <v>223</v>
      </c>
      <c r="I3" s="66" t="s">
        <v>254</v>
      </c>
      <c r="J3" s="64"/>
      <c r="K3" s="64"/>
      <c r="L3" s="64"/>
      <c r="M3" s="64"/>
      <c r="N3" s="64"/>
      <c r="O3" s="64"/>
    </row>
    <row r="4" spans="1:15" x14ac:dyDescent="0.25">
      <c r="A4" s="69">
        <v>2024</v>
      </c>
      <c r="B4" s="69">
        <v>8</v>
      </c>
      <c r="C4" s="69">
        <v>1</v>
      </c>
      <c r="D4" s="69">
        <v>0</v>
      </c>
      <c r="E4" s="69">
        <v>1</v>
      </c>
      <c r="F4" s="69">
        <v>2</v>
      </c>
      <c r="G4" s="69" t="s">
        <v>224</v>
      </c>
      <c r="H4" s="69" t="s">
        <v>223</v>
      </c>
      <c r="I4" s="70" t="s">
        <v>254</v>
      </c>
      <c r="J4" s="69"/>
      <c r="K4" s="69"/>
      <c r="L4" s="69"/>
      <c r="M4" s="69"/>
      <c r="N4" s="69"/>
      <c r="O4" s="69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D733-D02F-4818-9D6A-E6E21FE780ED}">
  <dimension ref="A1:H15"/>
  <sheetViews>
    <sheetView zoomScale="162" workbookViewId="0">
      <selection activeCell="E9" sqref="E9"/>
    </sheetView>
  </sheetViews>
  <sheetFormatPr defaultColWidth="8.85546875" defaultRowHeight="15" x14ac:dyDescent="0.25"/>
  <cols>
    <col min="1" max="1" width="26.7109375" customWidth="1"/>
  </cols>
  <sheetData>
    <row r="1" spans="1:8" x14ac:dyDescent="0.25">
      <c r="A1" s="71" t="s">
        <v>256</v>
      </c>
      <c r="B1" s="71" t="s">
        <v>213</v>
      </c>
      <c r="C1" s="71" t="s">
        <v>225</v>
      </c>
      <c r="D1" s="71" t="s">
        <v>226</v>
      </c>
      <c r="E1" s="71" t="s">
        <v>228</v>
      </c>
      <c r="F1" s="71" t="s">
        <v>230</v>
      </c>
      <c r="G1" s="71" t="s">
        <v>222</v>
      </c>
      <c r="H1" s="71" t="s">
        <v>224</v>
      </c>
    </row>
    <row r="2" spans="1:8" x14ac:dyDescent="0.25">
      <c r="A2" s="54" t="s">
        <v>257</v>
      </c>
      <c r="B2">
        <v>1</v>
      </c>
      <c r="C2">
        <v>2</v>
      </c>
      <c r="E2">
        <v>3</v>
      </c>
    </row>
    <row r="3" spans="1:8" x14ac:dyDescent="0.25">
      <c r="A3" s="54" t="s">
        <v>258</v>
      </c>
      <c r="B3">
        <v>1</v>
      </c>
      <c r="C3">
        <v>2</v>
      </c>
      <c r="E3">
        <v>3</v>
      </c>
    </row>
    <row r="4" spans="1:8" x14ac:dyDescent="0.25">
      <c r="A4" s="54" t="s">
        <v>259</v>
      </c>
      <c r="B4">
        <v>1</v>
      </c>
      <c r="C4">
        <v>2</v>
      </c>
      <c r="E4">
        <v>3</v>
      </c>
    </row>
    <row r="5" spans="1:8" x14ac:dyDescent="0.25">
      <c r="A5" s="54" t="s">
        <v>260</v>
      </c>
      <c r="B5">
        <v>1</v>
      </c>
      <c r="C5">
        <v>2</v>
      </c>
      <c r="E5">
        <v>3</v>
      </c>
    </row>
    <row r="6" spans="1:8" x14ac:dyDescent="0.25">
      <c r="A6" s="54" t="s">
        <v>261</v>
      </c>
      <c r="B6">
        <v>1</v>
      </c>
      <c r="C6">
        <v>2</v>
      </c>
      <c r="E6">
        <v>3</v>
      </c>
    </row>
    <row r="7" spans="1:8" x14ac:dyDescent="0.25">
      <c r="A7" s="54" t="s">
        <v>262</v>
      </c>
      <c r="B7">
        <v>1</v>
      </c>
      <c r="C7">
        <v>2</v>
      </c>
      <c r="E7">
        <v>3</v>
      </c>
    </row>
    <row r="8" spans="1:8" x14ac:dyDescent="0.25">
      <c r="A8" s="54" t="s">
        <v>263</v>
      </c>
      <c r="B8">
        <v>1</v>
      </c>
      <c r="C8">
        <v>2</v>
      </c>
      <c r="E8">
        <v>3</v>
      </c>
    </row>
    <row r="9" spans="1:8" x14ac:dyDescent="0.25">
      <c r="A9" s="54" t="s">
        <v>271</v>
      </c>
      <c r="B9">
        <v>1</v>
      </c>
      <c r="C9">
        <v>2</v>
      </c>
      <c r="D9">
        <v>3</v>
      </c>
      <c r="E9">
        <v>14</v>
      </c>
      <c r="F9">
        <v>4</v>
      </c>
    </row>
    <row r="10" spans="1:8" x14ac:dyDescent="0.25">
      <c r="A10" s="54" t="s">
        <v>264</v>
      </c>
      <c r="B10">
        <v>1</v>
      </c>
      <c r="C10">
        <v>2</v>
      </c>
      <c r="D10">
        <v>3</v>
      </c>
      <c r="E10">
        <v>14</v>
      </c>
      <c r="F10">
        <v>4</v>
      </c>
    </row>
    <row r="11" spans="1:8" x14ac:dyDescent="0.25">
      <c r="A11" s="54" t="s">
        <v>265</v>
      </c>
      <c r="B11">
        <v>1</v>
      </c>
      <c r="C11">
        <v>2</v>
      </c>
      <c r="D11">
        <v>3</v>
      </c>
      <c r="E11">
        <v>10</v>
      </c>
    </row>
    <row r="12" spans="1:8" x14ac:dyDescent="0.25">
      <c r="A12" s="54" t="s">
        <v>266</v>
      </c>
      <c r="B12">
        <v>1</v>
      </c>
      <c r="C12">
        <v>2</v>
      </c>
      <c r="D12">
        <v>3</v>
      </c>
      <c r="E12">
        <v>10</v>
      </c>
    </row>
    <row r="13" spans="1:8" x14ac:dyDescent="0.25">
      <c r="A13" s="54" t="s">
        <v>267</v>
      </c>
      <c r="B13">
        <v>3</v>
      </c>
      <c r="C13">
        <v>7</v>
      </c>
      <c r="D13">
        <v>11</v>
      </c>
      <c r="E13">
        <v>16</v>
      </c>
      <c r="G13">
        <v>1</v>
      </c>
      <c r="H13">
        <v>2</v>
      </c>
    </row>
    <row r="14" spans="1:8" x14ac:dyDescent="0.25">
      <c r="A14" s="54" t="s">
        <v>268</v>
      </c>
      <c r="B14">
        <v>3</v>
      </c>
      <c r="C14">
        <v>7</v>
      </c>
      <c r="D14">
        <v>11</v>
      </c>
      <c r="E14">
        <v>16</v>
      </c>
      <c r="G14">
        <v>1</v>
      </c>
      <c r="H14">
        <v>2</v>
      </c>
    </row>
    <row r="15" spans="1:8" x14ac:dyDescent="0.25">
      <c r="A15" s="54" t="s">
        <v>269</v>
      </c>
      <c r="B15">
        <v>3</v>
      </c>
      <c r="C15">
        <v>7</v>
      </c>
      <c r="D15">
        <v>11</v>
      </c>
      <c r="E15">
        <v>16</v>
      </c>
      <c r="G15">
        <v>1</v>
      </c>
      <c r="H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STW site</vt:lpstr>
      <vt:lpstr>All</vt:lpstr>
      <vt:lpstr>GHI</vt:lpstr>
      <vt:lpstr>DNI</vt:lpstr>
      <vt:lpstr>DHI</vt:lpstr>
      <vt:lpstr>TEMP</vt:lpstr>
      <vt:lpstr>PIR</vt:lpstr>
      <vt:lpstr>SZA</vt:lpstr>
      <vt:lpstr>AZM</vt:lpstr>
      <vt:lpstr>Column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finn fuji</cp:lastModifiedBy>
  <cp:lastPrinted>2016-10-20T22:06:12Z</cp:lastPrinted>
  <dcterms:created xsi:type="dcterms:W3CDTF">2016-10-19T23:36:17Z</dcterms:created>
  <dcterms:modified xsi:type="dcterms:W3CDTF">2026-03-09T05:03:10Z</dcterms:modified>
</cp:coreProperties>
</file>